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l\OneDrive\Dokumenty\Programming\P-Projects\PRJ-Javascript\strakataturistika\public\vysledky\"/>
    </mc:Choice>
  </mc:AlternateContent>
  <xr:revisionPtr revIDLastSave="0" documentId="13_ncr:1_{9F4FCDAD-3FD6-4476-9821-1781DB8B694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ist 6" sheetId="1" r:id="rId1"/>
    <sheet name="Výsledky 2019" sheetId="2" r:id="rId2"/>
    <sheet name="Průběžné pořadí" sheetId="3" r:id="rId3"/>
    <sheet name="Navštívená místa" sheetId="4" r:id="rId4"/>
    <sheet name="Seznam míst podle jmen" sheetId="5" r:id="rId5"/>
    <sheet name="nasbíraná data" sheetId="6" r:id="rId6"/>
    <sheet name="List 5" sheetId="7" state="hidden" r:id="rId7"/>
  </sheets>
  <calcPr calcId="191029"/>
  <pivotCaches>
    <pivotCache cacheId="8" r:id="rId8"/>
    <pivotCache cacheId="11" r:id="rId9"/>
    <pivotCache cacheId="1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0" i="6" l="1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Q517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2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Q415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4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3" i="6"/>
  <c r="E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3" authorId="0" shapeId="0" xr:uid="{00000000-0006-0000-0500-000001000000}">
      <text>
        <r>
          <rPr>
            <sz val="11"/>
            <color rgb="FF000000"/>
            <rFont val="Calibri"/>
          </rPr>
          <t>http://www.pohorskajednota.cz/
https://mapy.cz/s/3sc4u</t>
        </r>
      </text>
    </comment>
    <comment ref="P4" authorId="0" shapeId="0" xr:uid="{00000000-0006-0000-0500-000002000000}">
      <text>
        <r>
          <rPr>
            <sz val="11"/>
            <color rgb="FF000000"/>
            <rFont val="Calibri"/>
          </rPr>
          <t>http://www.pohorskajednota.cz/
https://mapy.cz/s/3sc4u</t>
        </r>
      </text>
    </comment>
  </commentList>
</comments>
</file>

<file path=xl/sharedStrings.xml><?xml version="1.0" encoding="utf-8"?>
<sst xmlns="http://schemas.openxmlformats.org/spreadsheetml/2006/main" count="3723" uniqueCount="976">
  <si>
    <t>Pořadí</t>
  </si>
  <si>
    <t>Příjmení a jméno</t>
  </si>
  <si>
    <t>Volací jméno psa</t>
  </si>
  <si>
    <t>Body celkem</t>
  </si>
  <si>
    <t>NP</t>
  </si>
  <si>
    <t>NPP</t>
  </si>
  <si>
    <t>NPR</t>
  </si>
  <si>
    <t>1000 m.</t>
  </si>
  <si>
    <t>Rozhledny</t>
  </si>
  <si>
    <t>Soutoky</t>
  </si>
  <si>
    <t>Prameny</t>
  </si>
  <si>
    <t>Říp</t>
  </si>
  <si>
    <t>Blaník</t>
  </si>
  <si>
    <t>1.</t>
  </si>
  <si>
    <t>Vrkoč Ivan</t>
  </si>
  <si>
    <t>Lája + Bianca</t>
  </si>
  <si>
    <t>2.</t>
  </si>
  <si>
    <t>Kouřil Milan</t>
  </si>
  <si>
    <t>Bessie + Mína</t>
  </si>
  <si>
    <t>3.</t>
  </si>
  <si>
    <t>Libenská Katka</t>
  </si>
  <si>
    <t>Art</t>
  </si>
  <si>
    <t>4.</t>
  </si>
  <si>
    <t>Weiterovi</t>
  </si>
  <si>
    <t>Bara</t>
  </si>
  <si>
    <t>5.</t>
  </si>
  <si>
    <t>Nedoma Radim</t>
  </si>
  <si>
    <t>Čaky</t>
  </si>
  <si>
    <t>6.</t>
  </si>
  <si>
    <t>Šindelář Pavel</t>
  </si>
  <si>
    <t>Dea</t>
  </si>
  <si>
    <t>7.</t>
  </si>
  <si>
    <t>Pichová Alena</t>
  </si>
  <si>
    <t>Baron</t>
  </si>
  <si>
    <t>8.</t>
  </si>
  <si>
    <t>Míka Marek</t>
  </si>
  <si>
    <t>Holly</t>
  </si>
  <si>
    <t>9.</t>
  </si>
  <si>
    <t>Minolová Jana</t>
  </si>
  <si>
    <t>Chilli</t>
  </si>
  <si>
    <t>10.</t>
  </si>
  <si>
    <t>Netrvalová Pavla</t>
  </si>
  <si>
    <t>Matouš</t>
  </si>
  <si>
    <t>11.</t>
  </si>
  <si>
    <t>Kučerová Iveta</t>
  </si>
  <si>
    <t>Gimi</t>
  </si>
  <si>
    <t>12.</t>
  </si>
  <si>
    <t>Krhovják Tomáš</t>
  </si>
  <si>
    <t>Iber</t>
  </si>
  <si>
    <t>13.</t>
  </si>
  <si>
    <t>Štraitová Milada</t>
  </si>
  <si>
    <t>Beky</t>
  </si>
  <si>
    <t>14.</t>
  </si>
  <si>
    <t>Kroupová Aneta</t>
  </si>
  <si>
    <t>Argo</t>
  </si>
  <si>
    <t>15.</t>
  </si>
  <si>
    <t>Jareš Ondřej</t>
  </si>
  <si>
    <t>Indy</t>
  </si>
  <si>
    <t>16.</t>
  </si>
  <si>
    <t>Kalinová Jana</t>
  </si>
  <si>
    <t>Bigi</t>
  </si>
  <si>
    <t>17.</t>
  </si>
  <si>
    <t>Krejčiříková Zuzana</t>
  </si>
  <si>
    <t>Ctisl. + Bramína</t>
  </si>
  <si>
    <t>18.</t>
  </si>
  <si>
    <t>Urabetzová Renata</t>
  </si>
  <si>
    <t>Abigail</t>
  </si>
  <si>
    <t>19.</t>
  </si>
  <si>
    <t>Straka Richard</t>
  </si>
  <si>
    <t>Hugo</t>
  </si>
  <si>
    <t>20.</t>
  </si>
  <si>
    <t>Pechanová Hana</t>
  </si>
  <si>
    <t>Denis</t>
  </si>
  <si>
    <t>21.</t>
  </si>
  <si>
    <t>Pastuchová Martina</t>
  </si>
  <si>
    <t>Bára</t>
  </si>
  <si>
    <t>22.</t>
  </si>
  <si>
    <t xml:space="preserve">Rozdolská Dana </t>
  </si>
  <si>
    <t>Cejlí</t>
  </si>
  <si>
    <t>23.</t>
  </si>
  <si>
    <t>Drahošová Michala</t>
  </si>
  <si>
    <t>Ema</t>
  </si>
  <si>
    <t>24.</t>
  </si>
  <si>
    <t>Šmerdovi</t>
  </si>
  <si>
    <t>Ája</t>
  </si>
  <si>
    <t>25.</t>
  </si>
  <si>
    <t>Vojtková Zuzana</t>
  </si>
  <si>
    <t>Lara</t>
  </si>
  <si>
    <t>26.</t>
  </si>
  <si>
    <t>Pletichová Wild.Lea</t>
  </si>
  <si>
    <t>Cíňa + Lestie</t>
  </si>
  <si>
    <t>27.</t>
  </si>
  <si>
    <t>Ublová Marie</t>
  </si>
  <si>
    <t>28.</t>
  </si>
  <si>
    <t>Novotná Jana</t>
  </si>
  <si>
    <t>Ebby</t>
  </si>
  <si>
    <t>29.</t>
  </si>
  <si>
    <t>Vaňourková Dana</t>
  </si>
  <si>
    <t>Bery</t>
  </si>
  <si>
    <t>30.</t>
  </si>
  <si>
    <t>Lukášovi</t>
  </si>
  <si>
    <t>Fanča</t>
  </si>
  <si>
    <t>31.</t>
  </si>
  <si>
    <t>Lachmanová Fany</t>
  </si>
  <si>
    <t>Rory</t>
  </si>
  <si>
    <t>32.</t>
  </si>
  <si>
    <t>Vlasákovi E + P</t>
  </si>
  <si>
    <t>Bela</t>
  </si>
  <si>
    <t>33.</t>
  </si>
  <si>
    <t>Pečinková Ivana</t>
  </si>
  <si>
    <t>Tara</t>
  </si>
  <si>
    <t>34.</t>
  </si>
  <si>
    <t>Laisková Monika</t>
  </si>
  <si>
    <t>Bety + Mia</t>
  </si>
  <si>
    <t>35.</t>
  </si>
  <si>
    <t>Hanč Jaroslav</t>
  </si>
  <si>
    <t>Ali</t>
  </si>
  <si>
    <t>36.</t>
  </si>
  <si>
    <t>Sýkorová Katka</t>
  </si>
  <si>
    <t>Alfons</t>
  </si>
  <si>
    <t>37.</t>
  </si>
  <si>
    <t>Holubová Alena</t>
  </si>
  <si>
    <t>Dřípatka</t>
  </si>
  <si>
    <t>38.</t>
  </si>
  <si>
    <t>Bečvářová Martina</t>
  </si>
  <si>
    <t>Alma</t>
  </si>
  <si>
    <t>39.</t>
  </si>
  <si>
    <t>Chrenková Iveta</t>
  </si>
  <si>
    <t>Deli</t>
  </si>
  <si>
    <t>40.</t>
  </si>
  <si>
    <t>Novotná Tatiana</t>
  </si>
  <si>
    <t>Sid</t>
  </si>
  <si>
    <t>41.</t>
  </si>
  <si>
    <t>Baláková Jana</t>
  </si>
  <si>
    <t>Dixi</t>
  </si>
  <si>
    <t>42.</t>
  </si>
  <si>
    <t>Fivébrová Marta</t>
  </si>
  <si>
    <t>Alby</t>
  </si>
  <si>
    <t>43.</t>
  </si>
  <si>
    <t>Dobiášová Kateřina</t>
  </si>
  <si>
    <t>Lex</t>
  </si>
  <si>
    <t>44.</t>
  </si>
  <si>
    <t>Hojná Zdenka</t>
  </si>
  <si>
    <t>Bája</t>
  </si>
  <si>
    <t>45.</t>
  </si>
  <si>
    <t>Majerko Tomáš</t>
  </si>
  <si>
    <t>Ax</t>
  </si>
  <si>
    <t>46.</t>
  </si>
  <si>
    <t>Novák Milan</t>
  </si>
  <si>
    <t>Anka + Brebta</t>
  </si>
  <si>
    <t>47.</t>
  </si>
  <si>
    <t>Fialová Jana</t>
  </si>
  <si>
    <t>Perla</t>
  </si>
  <si>
    <t>48.</t>
  </si>
  <si>
    <t>Píšová Klára</t>
  </si>
  <si>
    <t>Alík</t>
  </si>
  <si>
    <t>49.</t>
  </si>
  <si>
    <t>Poláková Radka</t>
  </si>
  <si>
    <t>Bačí</t>
  </si>
  <si>
    <t>50.</t>
  </si>
  <si>
    <t>Kremlová Daniela</t>
  </si>
  <si>
    <t>Ble+Ced+Abe</t>
  </si>
  <si>
    <t>51.</t>
  </si>
  <si>
    <t>Nagyová Lenka</t>
  </si>
  <si>
    <t>Dafné</t>
  </si>
  <si>
    <t>52.</t>
  </si>
  <si>
    <t>Pačesová Lenka</t>
  </si>
  <si>
    <t>Dorka</t>
  </si>
  <si>
    <t>53.</t>
  </si>
  <si>
    <t>54.</t>
  </si>
  <si>
    <t>55.</t>
  </si>
  <si>
    <t>Kolikrát byly přírodní zajímavosti navštívené v období 1.1. - 15.11.2019 s Českým strakatým psem?</t>
  </si>
  <si>
    <t>Místa</t>
  </si>
  <si>
    <t>Celkem</t>
  </si>
  <si>
    <t>Národní parky</t>
  </si>
  <si>
    <t>Nár. přírodní památka</t>
  </si>
  <si>
    <t>Nár. přírodní rezervace</t>
  </si>
  <si>
    <t>Soutoky význam. řek</t>
  </si>
  <si>
    <t>Prameny význ. řek</t>
  </si>
  <si>
    <t>Bájná hora Říp</t>
  </si>
  <si>
    <t>Bájná hora Blaník</t>
  </si>
  <si>
    <t>Datum navštívení</t>
  </si>
  <si>
    <t>Navštívená místa</t>
  </si>
  <si>
    <t>Kleť</t>
  </si>
  <si>
    <t>Čermákův vrch, Choustník</t>
  </si>
  <si>
    <t>rozhledna Semenec, soutok Vltavy a Lužnice</t>
  </si>
  <si>
    <t>Čermákův vrch</t>
  </si>
  <si>
    <t>Radegast, Brdo</t>
  </si>
  <si>
    <t>NPP Čertova zeď, pramen Ploučnice</t>
  </si>
  <si>
    <t>soutok Jizery a Kamenice</t>
  </si>
  <si>
    <t>Ještěd + rozhledna</t>
  </si>
  <si>
    <t>NPR Voděradské bučiny, Skalka</t>
  </si>
  <si>
    <t>Kratochvílova rozhl.</t>
  </si>
  <si>
    <t>Bramberk</t>
  </si>
  <si>
    <t>Vinice</t>
  </si>
  <si>
    <t>soutok Labe a Jizery</t>
  </si>
  <si>
    <t>Na Chlumu, Bára II</t>
  </si>
  <si>
    <t>Borůvka</t>
  </si>
  <si>
    <t>NPP Žákova hora, Jahůdka, Terezka, Toulovcova vyhl., pramen: Chrudimky, Krouny, Svratky</t>
  </si>
  <si>
    <t>Kostelní Hlavno</t>
  </si>
  <si>
    <t>Heřmanice, Frýdlantská výšina</t>
  </si>
  <si>
    <t>NPR Jizerskohorské bučiny</t>
  </si>
  <si>
    <t>Výhon, soutok Svitavy a Litavy</t>
  </si>
  <si>
    <t xml:space="preserve">NP Šumava, Vítkův kámen + rozhledna </t>
  </si>
  <si>
    <t>NPP Karlštejn</t>
  </si>
  <si>
    <t>Černá hora - + NPP + rozhledna</t>
  </si>
  <si>
    <t>NPP Babbiččino údolí</t>
  </si>
  <si>
    <t>Velká Deštná + rozhl., Jiráskova chata</t>
  </si>
  <si>
    <t>NP Krkonoše, Černá hora + rozhledna, Kleť + rozhledna</t>
  </si>
  <si>
    <t>NPP Žehuňský rybník,Dlouhopolsko, NPR Kněžičky,Polní Chrčice</t>
  </si>
  <si>
    <t>soutok Morava a Bystřice a Desná</t>
  </si>
  <si>
    <t>Varhošť</t>
  </si>
  <si>
    <t>Milešovka + rozhl., Lovoš + rozhl.</t>
  </si>
  <si>
    <t>soutok Labe a Doubravy</t>
  </si>
  <si>
    <t>NPP Kaňk, Havířská bouda, Bedřichova vyhlídka</t>
  </si>
  <si>
    <t>Stradonka</t>
  </si>
  <si>
    <t>NPP Semínský přesyp, Bára II, Kladruby n.L.</t>
  </si>
  <si>
    <t>Vodárna, Maják, soutok Loučné a Labe</t>
  </si>
  <si>
    <t>Hraniční vrch, Ježník, Strážnice u Liptaně, pramen Osoblahy</t>
  </si>
  <si>
    <t>Lázek, Milář, Rozárka, soutok Moravské Sázavy a Březné, a Moravy,Orlice a Labe,pramen Opatovického kanálu</t>
  </si>
  <si>
    <t>soutok Klejnárky a Vrchlice, Orlice a Třebovky, Andrlův Chlum</t>
  </si>
  <si>
    <t>Terezka</t>
  </si>
  <si>
    <t>NPP Hojkovské rašeliniště, NPR Žehuňský rybník, Kněžičky, Polní Chrčice, Pípallka, Roštýn</t>
  </si>
  <si>
    <t>NP Šumava, NPP Kaňkovy hory, Peklo, NPR Boubínský prales, Boubín + rozhl.,Modravská hora,Březník, Jezerní slať,  soutok Otavy a Volyňky, Vltavy a Berounky, pramen Vltavy, Vydry</t>
  </si>
  <si>
    <t>Blaník + rozhledna</t>
  </si>
  <si>
    <t>rozhledna Babka,  Želivka+Sázava</t>
  </si>
  <si>
    <t>rozhledna Český Šternberk, soutok Blanice a Sázavy</t>
  </si>
  <si>
    <t>Kupa</t>
  </si>
  <si>
    <t>Špulka</t>
  </si>
  <si>
    <t>Šelmberk, Kovářka</t>
  </si>
  <si>
    <t>Neštětická hora</t>
  </si>
  <si>
    <t>Maják, soutok Labe a Doubravy, Labe a Klejnárky</t>
  </si>
  <si>
    <t>NPR Libický luh, soutok Labe a Cidliny</t>
  </si>
  <si>
    <t>NPP Medník</t>
  </si>
  <si>
    <t>NPR Drbákov-Albertovy skály</t>
  </si>
  <si>
    <t>Orlík u Humpolce</t>
  </si>
  <si>
    <t>NPP Chýnovské jeskyně, pramen Trnavy, Blanice</t>
  </si>
  <si>
    <t>soutok Blanice a Chotýšanky</t>
  </si>
  <si>
    <t>soutok Sázavy a Konopišťského potoka</t>
  </si>
  <si>
    <t>Bohdanka</t>
  </si>
  <si>
    <t>Suchý vrch</t>
  </si>
  <si>
    <t>U Kunštácké kaple,Tetřevec,Homole, Koruna, Jelenka, Velká Deštná, Malá Deštná</t>
  </si>
  <si>
    <t>NPR Bukačka, Šerlich, Vrchmezí, pramen Bělé</t>
  </si>
  <si>
    <t>hrad Lipnice, soutok Želivky a Trnávky</t>
  </si>
  <si>
    <t>KRNAP, NPR Rašeliniště Jizerky,Bukovec, Jizera, Štěpánka, Maják Járy Cimrmana,soutok Jizery a Mumlavy</t>
  </si>
  <si>
    <t>Semenec, soutok Lužnice a Vltavy</t>
  </si>
  <si>
    <t>NPR Karlštejn</t>
  </si>
  <si>
    <t>NPP Kotýz + Zlatý kůň, NPR Koda</t>
  </si>
  <si>
    <t>NPP Pouzdřanská step-Kolby</t>
  </si>
  <si>
    <t xml:space="preserve">Dyje+Trkmanka,Minaret,Pastvisko,Lednické rybníky,Kolonáda </t>
  </si>
  <si>
    <t>Doubravka</t>
  </si>
  <si>
    <t>NPP U Nového mlýna+Dalejský profil+Požáry, rozhl. Cibulka</t>
  </si>
  <si>
    <t>NPR Křivé jezero, rozhledny Dalibor a Maják</t>
  </si>
  <si>
    <t>Akátová věž, soutok Svratky a Litavy</t>
  </si>
  <si>
    <t>NPP Červený kopec,  Brněnské výstaviště, Kamenný vrch</t>
  </si>
  <si>
    <t>Hustopeče</t>
  </si>
  <si>
    <t>Klucanina</t>
  </si>
  <si>
    <t>Zlobice, Babí lom</t>
  </si>
  <si>
    <t>Novomlýnská věž, Astronomická věž, Mlíkárna, vysílač Žižkov</t>
  </si>
  <si>
    <t>NPP Kukle, Nedánov</t>
  </si>
  <si>
    <t>soutok Jihlavy a Svratky</t>
  </si>
  <si>
    <t>NPP Kalendář věků, NPR Děvín-Kotel-Soutěska</t>
  </si>
  <si>
    <t>NPR Zástudánčí, Žebračka, soutok Moravy a Blaty</t>
  </si>
  <si>
    <t>NPP Rybníček u Hořan, Vysoká</t>
  </si>
  <si>
    <t>NPR Libický luh, Vodárna, Maják, Labe+Cidlina</t>
  </si>
  <si>
    <t xml:space="preserve"> Český Šternberk, Špulka</t>
  </si>
  <si>
    <t>NPP Velký Roudný, Velký Roudný, soutok Moravy a Bystřice</t>
  </si>
  <si>
    <t>NPR Hádecká planinka</t>
  </si>
  <si>
    <t>Ostrava-Nová radnice, Bolt Tower, soutok Lučiny a Ostravice</t>
  </si>
  <si>
    <t>NPP Rudické propadání</t>
  </si>
  <si>
    <t>soutok Moravy a Bečvy</t>
  </si>
  <si>
    <t>NPP Cikánka, Lochkovský profil, Černé rokle, Barrandovské skály, Barrandovské terasy</t>
  </si>
  <si>
    <t>Fajtuv kopec, soutok Balinky a Oslavy</t>
  </si>
  <si>
    <t>Jenštejn</t>
  </si>
  <si>
    <t>NPP Kleneč, Kratochvílova rozhl., Říp</t>
  </si>
  <si>
    <t>NPP Vrkoč, Malé sedlo, hrad Střekov, Větruše, soutok Labe a Bílina</t>
  </si>
  <si>
    <t>Erbenova vyhlídka</t>
  </si>
  <si>
    <t>NPP Bílé stráně, NPR Lovoš + rozhledna, Mostka, soutok Labe a Ohře</t>
  </si>
  <si>
    <t>Křivoš</t>
  </si>
  <si>
    <t>NPP Šipka, Štramberská trúba, Bílá hora</t>
  </si>
  <si>
    <t>NPR Býčí skála, Alexandrova vyhlídka</t>
  </si>
  <si>
    <t>Velký Javorník, Jurkovičova, pramen Jičínky</t>
  </si>
  <si>
    <t>NPR Kněhyně-Čertův mlýn,Radhošť,Malá Stolová, Kněhyně,Čertův mlýn,Radegast,Radhošť,Tanečnice Z,Tanečnice</t>
  </si>
  <si>
    <t>NPR Karlštejn, Vůznice, Děd, Městská hora, soutok Berounky a Litavky+Loděnice+Vůznice</t>
  </si>
  <si>
    <t>NP Krkonoše,Lysá hora, Harrachovy kameny, Violík, Čertova hora, Janova skála, rozhl.Járy Cimrmana, Štěpánka,Tanvaldský Špičák soutok Mumlavy a Jizery, Desné a Kamenice, pramen Labe</t>
  </si>
  <si>
    <t>NPP Kaňkovy hory, NPR Lichnice, rozhl. Milada</t>
  </si>
  <si>
    <t>Blaník + rozhledna, soutok Blanice a Sázavy</t>
  </si>
  <si>
    <t>NPP Landek,  + rozhledna, soutok Odry a Ostravice</t>
  </si>
  <si>
    <t>NPP Letiště Letňany</t>
  </si>
  <si>
    <t>NPP Medník, Pepř, soutok Vltavy a Sázavy</t>
  </si>
  <si>
    <t>NPP Bukačka, Šerlich, Polomský kopec, Vrchmezí, Pod Sedloňovým vrchem, Malá Deštná, Velká Deštná, Jelenka, Koruna, Homole, Tetřevec, U Kumštácké kaple, Anenský vrch, Tyršova rozhl., prameniště Bělé</t>
  </si>
  <si>
    <t>NPP Cikánský dolík, Bilíchovské údolí, NPR Malý a Velký Štít, Pochvalovská stráň, Kolowratská věž, Babka, soutok Zelivky a Sázavy</t>
  </si>
  <si>
    <t>U obrázku, Slunečná, Kraví hora, Stezka nad vonohrady</t>
  </si>
  <si>
    <t>NP Podyjí, NPR Krumlovsko-rokytenské slepence, Rumburak, Vl. Menšíka, Réna, soutok Jihlavy a Oslava a Rokytné</t>
  </si>
  <si>
    <t xml:space="preserve">Komec, soutok Svratka a Bobrava a Svitava, </t>
  </si>
  <si>
    <t>NPP Borečský vrch, NPR Milešovka + rozhledna, U zámečku</t>
  </si>
  <si>
    <t>Stará radnice</t>
  </si>
  <si>
    <t>NPP Pekárna</t>
  </si>
  <si>
    <t>NPR Jizerskohorské bučiny, Karlovské bučiny, Jizera, Černé věžičky, Holubník, Černá hora, Ptačí kupy, Polední kameny, Smědavská hora, Ještěd + rozhl, Císařský kámen, Petřín, Královka, Slovanka, Bramberk, Proseč, Nisanka, Na Čihadle, Liberecká výšina, Lidové sady, Rašovka, Dneboh, pramen Nisy, Ploučnice</t>
  </si>
  <si>
    <t>NPP Chropyňský rybník</t>
  </si>
  <si>
    <t>NPR Slanisko, Apollonův chrám,, Kozí hrádek, Kolonáda Reistna,</t>
  </si>
  <si>
    <t>Čebínka</t>
  </si>
  <si>
    <t>Milíř, soutok Orlice a Labe</t>
  </si>
  <si>
    <t>NPP Rovná, Strakonice, Hoslovice,Velký Kamýk, Čestice, soutok Otavy a Volyňky</t>
  </si>
  <si>
    <t>NP Šumava, NPR Boubínský prales, Velká Niva, Boubín + rozhl.Soumarský moc, Solovec, Malý Bobík, Bobík, soutok Vltavy a Řasnice</t>
  </si>
  <si>
    <t>Výška, Hrb, Nad Pasekou, Přilba,Churáňovský vrch, Homole, Světlá hora, Churáňov, pramen Losenice, Spůlka, Volyňka</t>
  </si>
  <si>
    <t>Jezerní slať, pramen Vltavy</t>
  </si>
  <si>
    <t>NPP Blanice, Libín + rozhl, Na Skalce, Rohanovský vrch, kamenná, Bukovec, pramen Zlatého potoka</t>
  </si>
  <si>
    <t>NPR Černé a Čertovo jezero, Špičák + rozhl., Pancíř + rozhl, Habr, Můstek, soutok Vydra a Křemelná, pramen Úhlavy a Otavy</t>
  </si>
  <si>
    <t>Javorník, Královský kámen, Kostrmanova rozhl., Vojna, Řimbaba, Rudolfka</t>
  </si>
  <si>
    <t>Ostrá horka</t>
  </si>
  <si>
    <t>NPR Radostínské rašeliniště, Dářko, Ransko, Žákova hora, Zuberský vrch, Bojka, Bára II, Na Chlumu, Barborka, pramen Svratky, Doubravy, Sázavy</t>
  </si>
  <si>
    <t>NPP Radouč, Rečkov, Klokočka, Swamp, NPR Velký a Malý Bezděz, Pecopala, Michalovice, Vrchbělá, Bezděz</t>
  </si>
  <si>
    <t>Spešov</t>
  </si>
  <si>
    <t>NPR Mrazák, Lysá hora</t>
  </si>
  <si>
    <t>NPR Vývěry Punkvy, Podvrší</t>
  </si>
  <si>
    <t xml:space="preserve">NPR Řežabinské tůně, Řežabince, Jarník </t>
  </si>
  <si>
    <t>NPR Vyšenské kopce, Kleť + rozhl., Granátník, Černá věž, soutok Vltavy a Malše a Křemežského potoka</t>
  </si>
  <si>
    <t>NPP Chýnovské jeskyně, Semenec, Radětice, Dobronice, Kotnov, Hýlačka, Babina, soutok Lužnice + Vltavy, Židovy strouhy, Smutné, Kozského potoka</t>
  </si>
  <si>
    <t>NPP Svatošské skály, Kožova hora, Mackova hora, Hartenštejn, Goethova vyhlídka, Vyhlídka Karla IV., Diana, Aberg, Loket, soutok Ohře + Teplé, Rolavy a Chodovského potoka,</t>
  </si>
  <si>
    <t xml:space="preserve">NPR Božídarské rašeliniště, Klínovec + rozhl,. Plešivec + rozhl., Blatenský vrch + rozhl., Božídarská vyhlídka, Pajndl, </t>
  </si>
  <si>
    <t>NPR Oblík, Raná, Hasištejn, Málkov, Stříbrník</t>
  </si>
  <si>
    <t>NPP Březinské tisy, Víťova rozhledna, Strážný vrch, Kohout, Ploučnická vyhlídka, Velký Chlum, Pastýřská stěna, Sokolí vrch, soutok Labe a Ploučnice</t>
  </si>
  <si>
    <t>NP České Švýcarsko, NPP Pravčická brána, NPR Růžák, Růženka, Janov, soutok Labe a Kamenice</t>
  </si>
  <si>
    <t>NPP Zlatý vrch, Panská skála, NPR Kaňon Labe, Novozámecký rybník, zřícenina Kamenice, Na stráži, Studenec</t>
  </si>
  <si>
    <t>Petřínská rozhledna</t>
  </si>
  <si>
    <t>NPP Chýnovské jeskyně, Pípalka, Hošťálkovice</t>
  </si>
  <si>
    <t>Vojna, Kozlovský kopec, Pastýřka, Brněnské výstaviště</t>
  </si>
  <si>
    <t>NPP Javorový vrch, NPR Polanecká niva,NPR Čantoria, NPR Praděd, Praděd + rozhl., Vysoké hole, Bezručova vyhl.,Kanihůra, Nová ves, ˇČantoryje,soutok Odra a Opava</t>
  </si>
  <si>
    <t>NPP Lendek + rozhledna, soutok Ostravice a Odry</t>
  </si>
  <si>
    <t xml:space="preserve">NPP Suché skály, Kozákov, NPR Čertův mlýn + vrchol, Radhošť + vrchol,Tanečnice, Radegast, Rožmitál, Tichánkova, Alainova věž, V Popelkách, Hlavatice, Dubecko, Kozákov, Kumburk, Chlum, Kabátice, Okrouhlá, Stezka Valašska,, pramen Cidliny, </t>
  </si>
  <si>
    <t>NPP Šipka, Bílá hora, Štramberská trúba</t>
  </si>
  <si>
    <t xml:space="preserve">Bolt tower, Nová radnice, Hladnov, soutok Ostravice a Lučiny, </t>
  </si>
  <si>
    <t>Orlík</t>
  </si>
  <si>
    <t>Jurkovičova rozhledna</t>
  </si>
  <si>
    <t>soutok Vsetínské a Rožnovské Bečvy</t>
  </si>
  <si>
    <t>Maruška</t>
  </si>
  <si>
    <t>Starý Jičín</t>
  </si>
  <si>
    <t>NPR Salajka, Vysoká, Súkenická, pramen Vsetínské a Rožnovské Bečvy</t>
  </si>
  <si>
    <t>Okrouhlá, Kabátice</t>
  </si>
  <si>
    <t>Olšová-Pohoř</t>
  </si>
  <si>
    <t>NPP Park v Bílé Lhotě a Třesín</t>
  </si>
  <si>
    <t>NPP Zbrašovské aragonit.jeskyně, NPR Hůrka u Hr.</t>
  </si>
  <si>
    <t>NPP Šipka, Štramberská trúba</t>
  </si>
  <si>
    <t>Kozlovský kopec, Andrlův chlum, Mariánka, Lanšperk, Lázek</t>
  </si>
  <si>
    <t>NPP Rudické propadání, NPR Vývěry Punkvy, Kopaninka</t>
  </si>
  <si>
    <t>NPP Kalendář věků, Pastvisko, Stránská skála, Dalibor - Zaječí, soutok Dyje - Trkmanka</t>
  </si>
  <si>
    <t>Búřov, pramen Lubiny</t>
  </si>
  <si>
    <t xml:space="preserve">NP Šumava,Podyjí,NPR Tabulová, Kozí Hrádek-Mikulov, U Křížku, Jezerní slať, Soumarské rašeliniště, Kašperk, Stezka korunami stromů,Vojtěchov, </t>
  </si>
  <si>
    <t>NPP Velký Roudný, Hanse Kudlicha, Cvilín, Velký Roudný</t>
  </si>
  <si>
    <t>NPP Randez vous, NPR Lednické rybníky, Minaret, Mikulčice, Lednická kolonáda</t>
  </si>
  <si>
    <t>Vrbice, Litice</t>
  </si>
  <si>
    <t>Bezručova vyhlídka, Bílá hora</t>
  </si>
  <si>
    <t>NPP Landek, NPR Polanská niva, Radhošť, Tanečnice Z vrchol, Stezka Valašska,  Straážný vrch, Vodojem Bohumín, Landek, Hošťálkovice, Veselská rozhledna, soutok Ostravice a Odry</t>
  </si>
  <si>
    <t>Brodek, Velký Javorník, pramen Jičínky</t>
  </si>
  <si>
    <t>Granátník</t>
  </si>
  <si>
    <t>soutok Vltavy a Bezdrevského p.</t>
  </si>
  <si>
    <t>soutok Malše a Stropnice</t>
  </si>
  <si>
    <t>NPP Žofinka</t>
  </si>
  <si>
    <t>NPP Terčino údolí, Hojná Voda, NPR Červené Blato, Vysoká, Rydlův kopec, Kraví hora, soutok Kamenice a Žirovnice, pramen Stropnice</t>
  </si>
  <si>
    <t>NPP Vizír, soutok Lužnice a Kosnětického potoka</t>
  </si>
  <si>
    <t>Tanvaldský Špičák, soutok Kamenice a Černé Desné</t>
  </si>
  <si>
    <t xml:space="preserve">Maják Járy Cirmamana,Štěpánka, soutok Jizery a Mumlavy </t>
  </si>
  <si>
    <t>Krnap,NPR Jizerské bučiny, Smrk + rozhl.,pramen Jizery,  soutok Hájeného p. a Smědé,</t>
  </si>
  <si>
    <t>Jizera, Na Čihadle, pramen Bělé Smědé</t>
  </si>
  <si>
    <t>NPR Chýnovské jeskyně, Orlík, Borůvka, Terezka</t>
  </si>
  <si>
    <t>NPR Brouskův mlýn,</t>
  </si>
  <si>
    <t>NPR Stará a Nová Řeka, soutok Lužnice a Dračice, pramen Zlaté stoky, Nové řeky</t>
  </si>
  <si>
    <t>Rohanovský vrch, Na Skále, Na Skalce, Libín + rozhl.</t>
  </si>
  <si>
    <t>NPP Luční, soutok Vltavy a Malše</t>
  </si>
  <si>
    <t>Semenec, soutok Lužnice a Vltavy a Kozkého potoka</t>
  </si>
  <si>
    <t xml:space="preserve">Archeopark Netolice, soutok Blanice a Zlatého potoka </t>
  </si>
  <si>
    <t>Černá věž</t>
  </si>
  <si>
    <t>rozhledna V Popelkách</t>
  </si>
  <si>
    <t>Tichánkova věž-rozhledna Tábor, Allainova věž</t>
  </si>
  <si>
    <t>Čeřovka</t>
  </si>
  <si>
    <t>soutok Jizery a Olešky</t>
  </si>
  <si>
    <t>NP Krkonoše, Černá hora + rozhledna, Stezka korunami stromů Janské Lázně</t>
  </si>
  <si>
    <t>NPP Kozákov + rozhledna, Trosky</t>
  </si>
  <si>
    <t>Věž samostatnosti, Hořický Chlum</t>
  </si>
  <si>
    <t>Kumburk</t>
  </si>
  <si>
    <t>NPP Bozkovské dolomitové jeskyně</t>
  </si>
  <si>
    <t>Štěpánka, U borovice</t>
  </si>
  <si>
    <t>Maják Járy Cimrmana, soutok Mumlavy a Jizery</t>
  </si>
  <si>
    <t>Dubecko</t>
  </si>
  <si>
    <t>Kopanina, Frýdštejn</t>
  </si>
  <si>
    <t>Andrlův chlum Varta, Litice n.Orl., Rozálka, Skuhrov, Kastel Vrbice, Na Signálu, Náchod, Rtyně, Nové Město nad Metují, Dobrošov, Žernov</t>
  </si>
  <si>
    <t>NPP Babiččino údolí, Zvičina</t>
  </si>
  <si>
    <t>NPR Adršoašsko-Teplické skály, Šibeník</t>
  </si>
  <si>
    <t>Kaňk, Semtěs, Na Kopečku, Milada</t>
  </si>
  <si>
    <t>NPP Rečkov, Klokočka, Radouš, NPR Malý a Velký Bezděz,Břehyně-Pecopala, Bezděz, Vrátenská hora, vrch Bělá,Zvířetice, Metoděj Vlach, Michalovice, Čížovka, Dneboch</t>
  </si>
  <si>
    <t>Petřín - Jablonec, Černá Studnice, Nisanka , Bramberk, Slovanka, Královka</t>
  </si>
  <si>
    <t>NPP Panská skála, Vyhlídková věž Jablonné v Podještědí, Rašovka, Vrchovina</t>
  </si>
  <si>
    <t>Chlum u H:K., Kunětická hora</t>
  </si>
  <si>
    <t>Krkavec</t>
  </si>
  <si>
    <t>Křížový vrch</t>
  </si>
  <si>
    <t>NPR Karlovské bučiny, Hlavatice</t>
  </si>
  <si>
    <t>Kožích</t>
  </si>
  <si>
    <t>NPP Dalejský profil</t>
  </si>
  <si>
    <t>U Jakuba</t>
  </si>
  <si>
    <t>Sylván</t>
  </si>
  <si>
    <t>Koráb, Rýzmberk</t>
  </si>
  <si>
    <t>rozhledna Krakovec</t>
  </si>
  <si>
    <t>Na Skále</t>
  </si>
  <si>
    <t>Křížový vrch, soutok Merklínka a Radbuza</t>
  </si>
  <si>
    <t>NPR Chejlava</t>
  </si>
  <si>
    <t>soutok Mže a Radbuzy, pramen Berounky</t>
  </si>
  <si>
    <t>Kamzík, Hamelika, pramen Teplé</t>
  </si>
  <si>
    <t>Na Vrších, soutok Berounky a Klabavy</t>
  </si>
  <si>
    <t>NPR Libický luh, Milíř, Labe a Orlice, Labe a Cidlina</t>
  </si>
  <si>
    <t>Památník Vojna, Důlní věž Řimbaba, pramen Kocáby</t>
  </si>
  <si>
    <t>soutok Úhlavy a Radbuzy</t>
  </si>
  <si>
    <t>Maják, Vodárenská věž</t>
  </si>
  <si>
    <t>Radyně</t>
  </si>
  <si>
    <t>Milíře, pramen Úhlávky</t>
  </si>
  <si>
    <t>NP Šumava, NPR Boubínský prales, Boubín + rozhledna</t>
  </si>
  <si>
    <t>NPP Swamp a Jestřebické slatiny, NPR Břehyně a Velký a Malý Bezděz, Bezděz rozhl.</t>
  </si>
  <si>
    <t>NPP Klokočka, Rečkov, Peklo, NPR Novozámecký rybník</t>
  </si>
  <si>
    <t>NPP Dalejský profil, Požáry, U Nového mlýna, Cibulka</t>
  </si>
  <si>
    <t>Děd, Městská hora, soutok Litavky a Berounky</t>
  </si>
  <si>
    <t>Háčkovaná</t>
  </si>
  <si>
    <t>Chlum, soutok Úslavy a Berounky</t>
  </si>
  <si>
    <t>NPP Upolínová louka, NPR Tři křížky,Pluhův bor, Třasák,Krásenský vrch, pramen Střely</t>
  </si>
  <si>
    <t>NPP Barrandovské skály,Žižkovský vysílač, Mlíkárna, Barrandovské terasy,Petřín, Novomlýnská vodárenská věž, Astronomická věž Klementinum, Lahovický most, Komín, sutok Berouny a Vltavy</t>
  </si>
  <si>
    <t>Heřmanova huť, soutok Uhlávky a Mže</t>
  </si>
  <si>
    <t>NPP prameniště Blanice, Větrný, Doupná hora, Na Skále, Křemenná, Chanovice</t>
  </si>
  <si>
    <t>NPP Blanice, Libín,Na Skalce, Rohanovský vrch, Soumarský most, Libín, pramen Zlatého potoka</t>
  </si>
  <si>
    <t>Obrovec, Kamenná, Bukovec, Světlá hora, Mařský vrch, Čestice, Kbíl, Hoslovice, soutok Volyňka a Otava a Spůlky, pramen Volyňky</t>
  </si>
  <si>
    <t>NPR Božídarské rašeliniště, Blatenský vrch, Božídarský Špičák, Blatenský vrch, Boží vyhlídka</t>
  </si>
  <si>
    <t>Macecha, Meluzína, Klínovec + rozhl., Plešivec + rozhl.</t>
  </si>
  <si>
    <t>Goethova vyhl., Vyhl. Karla IV., Diana, soutok Ohře a Teplé</t>
  </si>
  <si>
    <t>NPP Kotýz, Zlatý kůň, Klonk, Třenická hora, Žebrák, soutok Červený potok a Litavka</t>
  </si>
  <si>
    <t>NPP Komorní hůrka, Bublák, NPR SOOS, Zámeček, Salingburg, Černá věž, Vávrova lávka. Bismarcova</t>
  </si>
  <si>
    <t>Švihov, Klatovská hůrka, Klenová</t>
  </si>
  <si>
    <t>NPR Černé a Čertovo jezero, Bílá Strž,Habr, Můstek, Jedlová,Malý Pernet, Pernet, Ostrý,Jezerní hora, Svaroh, Velký Kokrháč, Špičák + rozhl., Malý Špičák, Pancíř + rozhl.,pramen Úhlavy, Křemelné</t>
  </si>
  <si>
    <t>Ždánov, sv.Jan, Královský kámen, Javorník, Strakonice, Klostrmannova rozhl, soutok Ostružné a Otavy</t>
  </si>
  <si>
    <t>NPP Pastviště u Finů, Svatobor,Sedlo, Stará Vodárna, Rabí</t>
  </si>
  <si>
    <t>NPP Luční, Chýnovská jeskyně, NPR Ransko, Radostínské rašeliniště, Dářko Šťastná věž, Orlík, Hýlačka, Kotnov, Babina,</t>
  </si>
  <si>
    <t>NPP Žákova hora, pramen Svratky</t>
  </si>
  <si>
    <t>NPP Kukle, Fajtův kopec, Akátová věž, Hustopeče, Nedákov, Kraví hora</t>
  </si>
  <si>
    <t xml:space="preserve">NPP Rendez-vous, Červený kopec,  Reistna, Bratčice, Komec, Ostrá horka, </t>
  </si>
  <si>
    <t>NPR Kalendář věků, Slanisko, NPPTabulová, Děvín, Kozí hrádek,</t>
  </si>
  <si>
    <t>NPP Pastvisko, NPR Lednické rybníky, Minaret, Kolonáda, Slunečná, Stezka nad vinohrady, soutok Trakmanky a Dyje</t>
  </si>
  <si>
    <t>NPR Křivé jezero, Dalibor, Maják</t>
  </si>
  <si>
    <t>NPR Kladská rašeliniště, Vysoká u Tachova, Bohoušův vrch,Panský vrch</t>
  </si>
  <si>
    <t>NPP Žehuňský rybník, Dlouhopolsko, NPR Kněžíčky</t>
  </si>
  <si>
    <t>Nový Rybník</t>
  </si>
  <si>
    <t>Velká Buková, soutok Berounky a Rakovnického potoka a Klíčavy</t>
  </si>
  <si>
    <t>NPR Koda, Karlštejn, soutok Berounky a Loděnice</t>
  </si>
  <si>
    <t>Na Stráži, soutok Labe a Vltavy</t>
  </si>
  <si>
    <t>NPP Kleneč, Dubí hora,Špičák, Mostka, Hořidla, Víťova rozhledna,  U Zámečku, Hláska, Kratochvílova rozhledna, soutok Labe a Ohře, Říp</t>
  </si>
  <si>
    <t>NPP Americká zahrada, Bolfánek</t>
  </si>
  <si>
    <t>NPP Vosek, Na Kotli</t>
  </si>
  <si>
    <t>NPR Čerchovské hvozdy, Čerchov + rozhl., Skalka, Šibeniční vrch</t>
  </si>
  <si>
    <t>NPP Odlezelské jezero</t>
  </si>
  <si>
    <t>Koráb, Rýzmberk, Vachotova věž, Kožich, sv.Markéta,pramen Merklínky</t>
  </si>
  <si>
    <t>Stráž, Holý vrch, Černá hora, Čertův vrch, Tetřev, Lapka, pramen Vltavy</t>
  </si>
  <si>
    <t>Orel, Březová hora, Sokol, Jezerní slať</t>
  </si>
  <si>
    <t>Přilba, Homole, Výška, Churáňovsý vrch, Churáňov, soutok Křemelné a Vydry, pramen Spůlky, Vydry, Otavy</t>
  </si>
  <si>
    <t>NPR Chlumská stráň, Radost, soutok Berounky a Třemošné, Střely , Javornice</t>
  </si>
  <si>
    <t>Skalka, Poledník + rozhl., Polom, Zámecký les, Sklářský vrch,</t>
  </si>
  <si>
    <t>NPR Drbákov-Albetovy skály, Máminka, Zvonička, Studený vrch</t>
  </si>
  <si>
    <t>NPPMedník, Neštětická hora, Drahoušek, Pepř, Drtinova rozhl,, Veselý vrch, Vrškamýk, Milada, Rožmitál, soutok Vltavy a Mastníku, Sázavy , Kocáby</t>
  </si>
  <si>
    <t>NPR Bukačka, Malá Deštná, Velká Deštná + rozhl., Sedloňovský vrch, Šerlich, Vrchmezí, Kamenný vrch, pramen Bělé</t>
  </si>
  <si>
    <t xml:space="preserve">NPR Vůznice, Týřov, Veselov, Kožova hora </t>
  </si>
  <si>
    <t>NPP Drbákov - Albertovy skály, Kotel, Studený vrch</t>
  </si>
  <si>
    <t xml:space="preserve">NPP Adršpašsko-teplické skály, Radhošť, Besedná, Veselý vrch, Stezka Valašska, Hradišťský vrch,  Radegast, Radhošť, Tanečnice, </t>
  </si>
  <si>
    <t>Hostýn</t>
  </si>
  <si>
    <t>rozhledna Špulka</t>
  </si>
  <si>
    <t>Pepř, soutok Vltavy a Sázavy</t>
  </si>
  <si>
    <t>Český Šternberk, soutok Blanice a Sázavy</t>
  </si>
  <si>
    <t>Kratochvílova rozhl., Říp, soutok Labe a Vltavy</t>
  </si>
  <si>
    <t>Suchý vrch, Anenský vrch</t>
  </si>
  <si>
    <t>NPP Hadce u Želivky, Babka, soutok Sázavy a Želivky</t>
  </si>
  <si>
    <t>Žižkovská věž, Mlíkárna, Petřín</t>
  </si>
  <si>
    <t>NPR Drbákov, Veselý vrch, Drtinova rozhledna</t>
  </si>
  <si>
    <t>NP Šumava, Poledník + rozhledna</t>
  </si>
  <si>
    <t>Černá hora, pramen Vltavy, Vydry</t>
  </si>
  <si>
    <t>Knížecí pláně, Žďárecká hora</t>
  </si>
  <si>
    <t xml:space="preserve">Špičák, Třístoličník, Vysoký hřeben, Trojmezná, Nad Rakouskou loukou,Plechý, Koňský vrch </t>
  </si>
  <si>
    <t>NPP Dalejský profil, Požáry, U Nového mlýna, Barrandovské skály, Cibulka, Astronomická věž, Barrandovské terasy</t>
  </si>
  <si>
    <t>NPP Cikánka, Lochkovský profil, Černé rokle, Mandava, Týnec n.S., DDM Praha Modřany, Lahovický most, Ládví, soutok Berounky a Vltavy</t>
  </si>
  <si>
    <t>Krnap, Violík, Vysoká pláň, Vysoké kolo, Velký Šišák, Mužšké kameny, Dívčí kameny, Ptačí kámen, Pevnost, Milohlídka,  pramen Labe</t>
  </si>
  <si>
    <t>NPR Libický luh, Majáj, Vodárna Kolín,Lesní hora, Luční hora, Zadní planina,Studniční hora, Sněžka, Růžová hora, soutok Labe a Doubravy a Cidliny</t>
  </si>
  <si>
    <t>soutok Lužnice a Nežárky</t>
  </si>
  <si>
    <t xml:space="preserve">NPR Unhošť, Božidarské rašeliniště,Kožová hora, Chmelový maják, Svatý vrch,Boží vyhlídka,Klínovec + rohl.,Černá skála, Barbora,Božidarský Špičák, soutok Blšanky a Ohře, </t>
  </si>
  <si>
    <t>NPP Rybníček u Hořan, Kaňk, Petrovice, Bohdanka, Havířská bouda, Březina, Vysoká</t>
  </si>
  <si>
    <t xml:space="preserve">NPP Letiště Letňany, NPR Jizerskohorské bučiny, Rašeliniště Jizerky, Rašeliniště Jizery, Ještěd + rozhl., Sněžné věžičky, Sněžná hora, Holubník, Ptačí kupy, Jelení stráň, Bukovec, soutok Jizery a Jizerky </t>
  </si>
  <si>
    <t>Vysoký vrch</t>
  </si>
  <si>
    <t>Nisanka, Bramberk, pramen Nisy</t>
  </si>
  <si>
    <t xml:space="preserve">Cibulka </t>
  </si>
  <si>
    <t>rozhledna Děd</t>
  </si>
  <si>
    <t>rozhledna Veselov</t>
  </si>
  <si>
    <t>Lhotka u Berouna. NPR Dalejský profil</t>
  </si>
  <si>
    <t>NPP Požáry</t>
  </si>
  <si>
    <t>Milada, Langova (Onen svět), Kuníček, Veselý vrch, Drtinova rozhl.</t>
  </si>
  <si>
    <t>NPR Drbákov-Albertovy skály, Mandava,Neštětická h., Ládví-Vlková</t>
  </si>
  <si>
    <t>Heřmanova huť, Nový rybník, soutomk Úhlávky a Mže</t>
  </si>
  <si>
    <t>KRNAP, Sněžka, Hnědý vrch</t>
  </si>
  <si>
    <t>NPR Větrušické rokle</t>
  </si>
  <si>
    <t>NPP Kańk, Kaňk</t>
  </si>
  <si>
    <t>soutok Vltavy a Křemžského potoka</t>
  </si>
  <si>
    <t>NPP Hojkovské rašeliniště</t>
  </si>
  <si>
    <t>Petřín</t>
  </si>
  <si>
    <t>NPR Vůznice</t>
  </si>
  <si>
    <t>Kotnov, Hýlačka, Babina</t>
  </si>
  <si>
    <t>NPP Bílé stráně, Na Kožichu, Mostka, soutok Labe a Ohře</t>
  </si>
  <si>
    <t>Kleť + rozhledna, DDM Modřany,Lahovické věže, soutok Vltavy a Berounky</t>
  </si>
  <si>
    <t>Petřín - Jablonec, Slovanka, Královka, Tanvaldský Špičák, soutok Černé Desné a Kamenice a Bílé Desné</t>
  </si>
  <si>
    <t>NPP Žehuňský rybník, Polní Chrčice, Bedřichova vyhlídka, Bára II</t>
  </si>
  <si>
    <t>NPP Radouč, NPR Černé a Čertovo jezero, Špičák + rozhl., Pancíř, Můstek, Velký Prenet, Michalovice, Slabošovka, Hradišťský vrch</t>
  </si>
  <si>
    <t>NP Šumava,Trojmezná, Plechý, Třístoličník, Nad rakouskou loukou, Skalky, Knížecí stolec, Jezerní vyhlídka, Černá věž, Semenec, soutok Vltavy a Malše a Lužnice</t>
  </si>
  <si>
    <t>NPP Blanice, Medník, Kozákov,Suché skály,Rohanovský vrch, Libín + rozhl., Žižkovský vysílač, Archeopark Netolice, Milíř, Sylván, Dubecko, Kozákov,soutok Kocáby a Vltavy, Vltavy a Sázavy,</t>
  </si>
  <si>
    <t>NPP V Jezírkách, Bilichovské údolí, NPR Karlštejn, Koda, Libický luh, Kozova hora, Mackova hora, Vrchbělá, Líský, soutok Blanice a Otavy, Labe a Cidliny</t>
  </si>
  <si>
    <t>NPP Cikánský dolík, Lochkovský profil, Černé rokle, Libčice,</t>
  </si>
  <si>
    <t>Réna</t>
  </si>
  <si>
    <t>Velký Javorník</t>
  </si>
  <si>
    <t>jeskyně Šipka, Trúba Štramberk</t>
  </si>
  <si>
    <t xml:space="preserve">Jurkovičova </t>
  </si>
  <si>
    <t>NPR Mazák, Lysá hora</t>
  </si>
  <si>
    <t>NPR Kralický Sněžník, Stezka v oblacích Dolní Morava</t>
  </si>
  <si>
    <t>Kabátnice, Okrouhlá</t>
  </si>
  <si>
    <t>Bezručova vyhlídka</t>
  </si>
  <si>
    <t>NPR Salajka,Vysoká, roz..Miloňová+Čartak,Vset.+ Rožn.Bečvy</t>
  </si>
  <si>
    <t>NPR Kněhyně + Radhošť, rozhledna Stezka Valašska</t>
  </si>
  <si>
    <t>Radhošť,Radegast+Z vrch.,Tanečnice+Z vrch.,Nořičí h.,Zmrzlý v.</t>
  </si>
  <si>
    <t>Nová Ves</t>
  </si>
  <si>
    <t>Prašivá</t>
  </si>
  <si>
    <t>Landek ,Hošťálkovice,Odra+Lubina+Ostravice+Ondřejnice</t>
  </si>
  <si>
    <t>NPP Landek, NPR Polanská niva</t>
  </si>
  <si>
    <t>NPP Skalická Morávka, soutok Ostravice a Morávky</t>
  </si>
  <si>
    <t>NPP Zbrašov. jeskyně,NPR Hůrka,St.Jičín, Vsetín.+Rožnov. Bečva</t>
  </si>
  <si>
    <t>Hrad dona Quijota</t>
  </si>
  <si>
    <t>Malá Stolová, Velká Stolová, Folvark, Kněhyně, Čertův mlýn, Magurka</t>
  </si>
  <si>
    <t>Travný</t>
  </si>
  <si>
    <t>Božka, Kanihůra - Bílov, soutok Moravy a Bystřice, pramen Odry</t>
  </si>
  <si>
    <t>Šance, Bezručova vyhlídka,  Olšová v Pohoří. Slatina, Veselská rozhledna</t>
  </si>
  <si>
    <t>Malý Smrk, Smrk</t>
  </si>
  <si>
    <t>Nová radnice, Hladnov, Bolt Tower, soutok Ostravice a Lučiny</t>
  </si>
  <si>
    <t>Bohumín, soutok Odry a Olše</t>
  </si>
  <si>
    <t>Javorový, Šindelná</t>
  </si>
  <si>
    <t>Kelčský Javorník, Maruška</t>
  </si>
  <si>
    <t>NPP Na Skále,Růžičkův lom,Kosířské lomy,Za Hrnčířkou,Hrdibořické rybniky,Velký Kosíř,Čechy pod Kosířem,Desná</t>
  </si>
  <si>
    <t>NPP Chropyňský rybník,NPR Zástudánčí,Žebračka,Brodek, soutok Moravy +Bečvy + Romže</t>
  </si>
  <si>
    <t>Bílá hora</t>
  </si>
  <si>
    <t>NPP Razula, pramen Lubiny, Jičínky</t>
  </si>
  <si>
    <t>Ropice, Smrčina, Slavíč</t>
  </si>
  <si>
    <t>pramen Ostravice, Morávky</t>
  </si>
  <si>
    <t>NPP Praděd + vrchol + rozhledna, NPP Javorový vrch, Vysoká hole,pramen Moravice, Opavy</t>
  </si>
  <si>
    <t>NPR Rašeliniště Skřítek,Mravenečník,Dlouhé stráně,Vřesník,Velká jezera,Homole,Čepel,U Tetřeví chaty,Bukovka,Ježník(Vyhlídka), Cvilín,Strážiště (Hanse Kudlicha), soutok Opavy a Moravice</t>
  </si>
  <si>
    <t>NPR Bukačka, Šerlich, Vrchmezí, pramen Bělé, Pastýřka</t>
  </si>
  <si>
    <t>soutok Lubiny a Lomné</t>
  </si>
  <si>
    <t>Malý Javorník</t>
  </si>
  <si>
    <t>NPR Čantoria + rozhledna , Soběšovice</t>
  </si>
  <si>
    <t>Ostrý, Kozubová</t>
  </si>
  <si>
    <t>NPR Mionší, Velký Polom, Burkův vrch, Malý Polom, Nad Kršlí, Čuboňov, Tettřev</t>
  </si>
  <si>
    <t>NPP Velký Roudný, + rozhl., Slamník, Podbělka, Sušina, Černá kupa, Stříbrnická, Kralický Sněžník, Malý Sněžník, Hleďsebe,Burkův vrch, Klepáč + rozhl., pramen Moravy</t>
  </si>
  <si>
    <t>NPP Park v Bílé Lhotě, Třesín, Rešovské vodopády, NPR  Vrapač, Špraněk, Ramena řeky Moravy</t>
  </si>
  <si>
    <t>Helfštýn</t>
  </si>
  <si>
    <t>NPR Rohová, Hláska,Andrlův Chlum,Milíř, soutok Moravy a Třebůvky a Moravské Sázavy,Moravské Sázavy a Březné,Tiché Orlice a Třebovky,  Divoké Orlice a Zdobnice a Bělé,Labe a Orlice a Loučné, pramen Loučné</t>
  </si>
  <si>
    <t>Vartovna, Královec, Doubrava, Na skalce, Pod Vojansků, Velký Lopeník</t>
  </si>
  <si>
    <t>NPP Búrová, NPR Javořina,Jezevčí, Drahy, U krížku, Obecnice, Slovácký dvůr, Maják, Modrá, vyhlídková věž Modrá</t>
  </si>
  <si>
    <t>NPR Pulčín, Čubův kopec, Na Strážné, Zdenička, Lebedov</t>
  </si>
  <si>
    <t>NPP Radouč, Semínský přesyp, Klokočka, NPR Libický luh Bohdanečský rybník, Rečkov, Vodárenská vyhlídka, Maják, Polní Chrčice, Vodárna, Bedřichova vyhl., Zvířetice,Metoděje Vlacha,  soutok Labe a Cidliny, Mrliny, Labe a Jizery</t>
  </si>
  <si>
    <t>NPP Malhotky, NPR Strabišov - Oulehla, Salaš, Hostýn, Brdo, Holý kopec, soutok Moravy a Dřevnice</t>
  </si>
  <si>
    <t xml:space="preserve">NPR Šerák-Keprník, Šindelná hora, Šerák, Keprník, Červená hora, Trnová ora, Liščí hora, Travná hora, Smrk, Studený,Lví hora, soutok Branné a Moravy  pramen Branné, </t>
  </si>
  <si>
    <t>soutok Odry a Jičínky</t>
  </si>
  <si>
    <t>Sylván, soutok Radbuza a  Mže, Úhlava a Radbuza</t>
  </si>
  <si>
    <t>Háčkovaná, Sedlo u Albrechtic</t>
  </si>
  <si>
    <t xml:space="preserve">NP Šumava, Rabí </t>
  </si>
  <si>
    <t>NPR Oblík, NPP Kamenná slunce, Stradonka, Stříbrník, soutok Kosový potok a Mže</t>
  </si>
  <si>
    <t>NP Krkonoše, Černá hora + rozhledna,Stezka korunami stromů,Zlatá vyhlídka,Čížovka</t>
  </si>
  <si>
    <t>NPP Babiččino údolí, NPR Adršpašsko-teplické skály, Žernov,Eliška</t>
  </si>
  <si>
    <t>NPP Křížky a ´Úpolínová louka, Heřmanova huť, Třask, Krásenský vrch, soutok Teplé a Pramenského potoka</t>
  </si>
  <si>
    <t>NPP Odlezelské jezero, Vysoká, Bohušův vrch, Chlum, soutok Berounky a Úslavy</t>
  </si>
  <si>
    <t>Břasy, Líně, soutok Berounky a Třemošné a Střely</t>
  </si>
  <si>
    <t>Vochlice, Krásný dvůr, Shillerova rozhl., Tobiášův vrch</t>
  </si>
  <si>
    <t xml:space="preserve">NPP Vosek, Šťasná věž, Na Kotli, Milíře, Březinka.Šibeniční vrch, Křížový vrch, soutok Radbůzy a Zubřiny, </t>
  </si>
  <si>
    <t>Radost, Vachatovo rozhledna, Koráb, Rýzmberk, Markéta, soutok Klabavy a Berounky</t>
  </si>
  <si>
    <t xml:space="preserve"> Loket, Krudum</t>
  </si>
  <si>
    <t>NPP Americká zahrada, Krkavec Bolfánek, Švihov</t>
  </si>
  <si>
    <t>Kožích, Lhotka u Berouna, Děd, Máminka, Žebrák, Třenická hora</t>
  </si>
  <si>
    <t>Rožmitál, Řimbaba, Vojna, Studený vrch</t>
  </si>
  <si>
    <t>NPP Skalky skřítků, Bučina, Hartenštejn, Panský vrch, Hamelika,Kamzík</t>
  </si>
  <si>
    <t>NPR Chlumská stráň, Týřov, soutok Berounky a Zbirožského potoka a Javornice</t>
  </si>
  <si>
    <t>Havran, Radnyě</t>
  </si>
  <si>
    <t>NPP Kleneč, Říp</t>
  </si>
  <si>
    <t>Terezka, pramen Novohradky</t>
  </si>
  <si>
    <t>NP Šumava, Javorník + rozhledna, Zadov, soutok Vltavy a Otavy</t>
  </si>
  <si>
    <t>Královský kámen, Semenec, soutok Vltavy a Lužnice</t>
  </si>
  <si>
    <t>NPP Stročov</t>
  </si>
  <si>
    <t>NPP Chýnovské jeskyně</t>
  </si>
  <si>
    <t>Kovářka, Šelmberk, pramen Blanice</t>
  </si>
  <si>
    <t>soutok Malše a Vltavy</t>
  </si>
  <si>
    <t>Svatobor</t>
  </si>
  <si>
    <t>Goethova vyhlídka</t>
  </si>
  <si>
    <t>soutok Odry a Olše</t>
  </si>
  <si>
    <t>NPP Landek,rozhl.  Landek,  soutok Ostravice a  Odra</t>
  </si>
  <si>
    <t>NPR Rejvíz, Zlatý Chlum, Sosnová, Strážiště(H. Kudlicha)</t>
  </si>
  <si>
    <t>NPR Čantoria + rozhledna</t>
  </si>
  <si>
    <t>NPR Polánecká niva, Ve věží</t>
  </si>
  <si>
    <t>Bumbálka</t>
  </si>
  <si>
    <t>Nová radnice - Ostrava, soutok Ostravice a Lučiny</t>
  </si>
  <si>
    <t>Hošťálkovice, Bolt tower, soutok Odry a Opavy</t>
  </si>
  <si>
    <t>NPR Zastudnici, Vitčice, soutok Moravy a Bečvy</t>
  </si>
  <si>
    <t>Vrbice, Rozárka, Suchý vrch, soutok Orlice a Dědiny</t>
  </si>
  <si>
    <t>soutok Morávky a Ostravice, pramen Ostravice</t>
  </si>
  <si>
    <t>Lysá hora</t>
  </si>
  <si>
    <t>Tanečnice, stezka Valašska</t>
  </si>
  <si>
    <t>soutok Ostravice a Morávky</t>
  </si>
  <si>
    <t>Ropice</t>
  </si>
  <si>
    <t>NPP Peklo</t>
  </si>
  <si>
    <t>NPR Novozámecký rybník</t>
  </si>
  <si>
    <t>NPP Panská skála</t>
  </si>
  <si>
    <t>soutok Ploučnice a Robečského potoka</t>
  </si>
  <si>
    <t>soutok Ploučnice a Panenského potoka</t>
  </si>
  <si>
    <t>Ploučnická vyhlídka</t>
  </si>
  <si>
    <t>Na Stráži</t>
  </si>
  <si>
    <t>NPR Rašeliniště Jizerky, Tanvaldský Špičák,Petříkn,  soutok Kamenice a Černé Desné, pramen Nisy</t>
  </si>
  <si>
    <t>Jablonnév Podještédi</t>
  </si>
  <si>
    <t>NPP Swamp, Špičák</t>
  </si>
  <si>
    <t>NPPZlatý vrch, Zámecký vrch, pramen Ploučnice</t>
  </si>
  <si>
    <t>NPP Dubí hora</t>
  </si>
  <si>
    <t>Hořický Chlum, Masarykova Věž samostatnosti, soutok Orlice a Labe</t>
  </si>
  <si>
    <t>Chlum u Hradce Králové</t>
  </si>
  <si>
    <t>Víťova rozhledna</t>
  </si>
  <si>
    <t>NPP Jestřebské slatiny, Dymník, Hrádek,</t>
  </si>
  <si>
    <t>Slovanka, Bramberk</t>
  </si>
  <si>
    <t>NPR Břehyně- Pecopala</t>
  </si>
  <si>
    <t>pramen Liběchovky</t>
  </si>
  <si>
    <t>Strážný vrch</t>
  </si>
  <si>
    <t>NPR Malý a Velký Bezděz, Bezděz</t>
  </si>
  <si>
    <t>Cibulka</t>
  </si>
  <si>
    <t>Požáry, Dalejský profil, U Nového mlýna</t>
  </si>
  <si>
    <t>NPP Barrandovské skály, Lahovický most, Berounka+Vltava</t>
  </si>
  <si>
    <t xml:space="preserve"> NPP Lochkovický profil, Cikánka I, Černé rokle</t>
  </si>
  <si>
    <t>soutok Vltavy a Rokytky</t>
  </si>
  <si>
    <t>Žižkovský vysílač, Mlíkárna v Riegrových sadech</t>
  </si>
  <si>
    <t xml:space="preserve">NPP Letiště Letňany, Novomlýnská vodárenská věž, Astronomická věž Klementinum </t>
  </si>
  <si>
    <t>Pepř</t>
  </si>
  <si>
    <t>Klinovec + rozhl., NPR Božidarské rašelinište, Božídarský Špičák, Nad Rýžovou, Plešivec</t>
  </si>
  <si>
    <t>Blatenský vrch + rozhl., NPR Rolavske vrchoviště, Olověný vrch</t>
  </si>
  <si>
    <t>Meluzína</t>
  </si>
  <si>
    <t>Tetřeví hora</t>
  </si>
  <si>
    <t>Macecha</t>
  </si>
  <si>
    <t>Hartenstejn, Kožová hora</t>
  </si>
  <si>
    <t>Kostelí Hlavno, Dneboh</t>
  </si>
  <si>
    <t>NPR Rašeliniště Jizerky, Bukovec</t>
  </si>
  <si>
    <t>Černý vrch</t>
  </si>
  <si>
    <t>KRNAP, Štěpánka, Maják Járy Cimrmana,soutok Jizery a Mumlavy</t>
  </si>
  <si>
    <t>Na Kneipě, Na Čihladle, Smědá</t>
  </si>
  <si>
    <t>NPR Jizerské bukoviny, soutok Smědá a Velký Štolpich, Smědá a Lomnice</t>
  </si>
  <si>
    <t>Heřmanice</t>
  </si>
  <si>
    <t>NPP Holý vrch, soutok Labe a Vltavy</t>
  </si>
  <si>
    <t>NPP Skalky skřítků, Hubertky, Pajndl, Bučina,Boží vyhlídka,Cibulka, Hard, soutok Ohře a Svatavy</t>
  </si>
  <si>
    <t>Dub, Vysoká Seč, Hasištejn, Málkov</t>
  </si>
  <si>
    <t>NPP Křížky a ´Úpolínová louka, Třasák, Vochlícká rozhld., Machova hora</t>
  </si>
  <si>
    <t>Loučná, Hradišť, Nisa, Černá Studnice, pramen Nisy, soutok Kamenice a Černé Desné</t>
  </si>
  <si>
    <t>NPP Zlatý kůň, Kotýz,soutok Litavky a Berounky</t>
  </si>
  <si>
    <t>soutok Vltavy a Kocáby a Sázavy</t>
  </si>
  <si>
    <t>NPP Peklo, NPR Nonozámecký rybník</t>
  </si>
  <si>
    <t>NPR Lichnice, Milada, soutok Doubrava a Zlatý potok</t>
  </si>
  <si>
    <t>Kratochvílova rozhledna, Na horách</t>
  </si>
  <si>
    <t>Vltava a Zákolanský potok a Bakovský p.</t>
  </si>
  <si>
    <t>Libčice</t>
  </si>
  <si>
    <t>NPR Žehuňský rybník, Maják, Chrčice</t>
  </si>
  <si>
    <t>NPP Bílé stráně,Mostka, U Zámečku, soutok Labe a Ohře,</t>
  </si>
  <si>
    <t>soutok Sázavy a Šlapanky</t>
  </si>
  <si>
    <t>NPP Jestřebské slatiny, Swamp, NPR Břehyně-Pecopala</t>
  </si>
  <si>
    <t>NPP Vrkoč, Větrušice, Střekovská vyhlídka, Střekov - hrad, Erbenova vyhlídka, soutok Labe a Bíliny</t>
  </si>
  <si>
    <t>NPP Hrabanovská černava, Barrandovské terasy, soutok Vltavy a Dalejského p., Vltavy a Botiče</t>
  </si>
  <si>
    <t xml:space="preserve">NPP Slatinná louka, Vinice, soutok Výrovky a Šembery, Výrovky a Labe, </t>
  </si>
  <si>
    <t xml:space="preserve">NPR Voděradské bučiny, Skalka, MDD Modřany, soutok Vltavy a Šáreckého potoka, pramen Šembery, </t>
  </si>
  <si>
    <t>pramen Šáreckého potoka</t>
  </si>
  <si>
    <t>NP České Švýcarsko</t>
  </si>
  <si>
    <t>rozhledna Černá Studnice</t>
  </si>
  <si>
    <t>soutok Vltavy a Labe, hora Říp</t>
  </si>
  <si>
    <t>Císařský kámen</t>
  </si>
  <si>
    <t>pramen Nisy</t>
  </si>
  <si>
    <t>NPP Radhošt, NPR Půlčín-Hradisko, Radhošť, Vartovna, Čartak, Jurkovičova, Stezka Valašska</t>
  </si>
  <si>
    <t>NPR Šipka, Bílá hora, Štramberská trůba</t>
  </si>
  <si>
    <t>Nisanka</t>
  </si>
  <si>
    <t>NP Šumava</t>
  </si>
  <si>
    <t>NPR Broumovské stěny</t>
  </si>
  <si>
    <t>NPP Polické stěny</t>
  </si>
  <si>
    <t>Na Signálu, Dobrošov</t>
  </si>
  <si>
    <t>Čáp, pramen Metuje</t>
  </si>
  <si>
    <t>Ruprechtický Špičák</t>
  </si>
  <si>
    <t>Zámek Nové Město nad Metují, Náchodský zámek</t>
  </si>
  <si>
    <t>NPP Babiččino údolí, Žernov, Rtyně v Podkrkonoší</t>
  </si>
  <si>
    <t>NPP Adršpašsko-teplické skály, Lenka</t>
  </si>
  <si>
    <t>U Kunštácké kaple,Tetřevec,Homole, Malá Deštná</t>
  </si>
  <si>
    <t>pramen Želivky</t>
  </si>
  <si>
    <t>Křemešní - Pípalka</t>
  </si>
  <si>
    <t xml:space="preserve">Orlík </t>
  </si>
  <si>
    <t xml:space="preserve">NPP Jankovský potok. </t>
  </si>
  <si>
    <t>NPR Velký Špičák</t>
  </si>
  <si>
    <t>Žirovnice</t>
  </si>
  <si>
    <t>soutok Želivky a Trnavy</t>
  </si>
  <si>
    <t>Kamenice</t>
  </si>
  <si>
    <t>pramen Jihlavy</t>
  </si>
  <si>
    <t>NPP Stránská skála, NPR Zhejral, Kamenný vrch</t>
  </si>
  <si>
    <t>Šacberk</t>
  </si>
  <si>
    <t>NPP  Chýnovské jeskyně, pramen Blanice, Trnavy</t>
  </si>
  <si>
    <t>NPR Žákova hora, pramen Svratky</t>
  </si>
  <si>
    <t>NPR Stará a Nová řeka</t>
  </si>
  <si>
    <t>soutok Sázavy a Svratky</t>
  </si>
  <si>
    <t>NP Šumava, NPP Luční, Libín + rozhledna, Plechý</t>
  </si>
  <si>
    <t>NPP Blanice, Prameniště Blanice, NPR Velká Niva, Soumarský most</t>
  </si>
  <si>
    <t>NPR Boubín, Boubín + rozhledna, soutok Teplé Vltavy a Řásnice</t>
  </si>
  <si>
    <t>Nový rybník</t>
  </si>
  <si>
    <t>Čerchovské hvozdy,Čerchov,Skalka,rozh.Čerchov,Šibeniční vrch</t>
  </si>
  <si>
    <t>Chlum, soutok Berounky a Úslavy, Mže a Radbuzy</t>
  </si>
  <si>
    <t>Krkavec, Sylván</t>
  </si>
  <si>
    <t>NPP Americká zahrada, Klatovská hůra, sv.Markéty,Bolfánek</t>
  </si>
  <si>
    <t>soutok Úhlávky a Mže, Heřmanova Huť</t>
  </si>
  <si>
    <t>Háčkovaná, soutok Radbúzy a Úhlavy</t>
  </si>
  <si>
    <t>NPP Kalendář věků,NPR  Děvín-Kotel,Křivé jezero,Tabulová, Kozí hrádek</t>
  </si>
  <si>
    <t>NPP Pastvinsko,Rendez-Vous,NPR Lednické rybníky, Slanisko u Nesytu, soutok Dyje a Trkmanky</t>
  </si>
  <si>
    <t>Lednicje - Kolonáda, Minare, Český Šternberk, soutok Blanice a Sázavy</t>
  </si>
  <si>
    <t>Na Skále, Šťastná věž</t>
  </si>
  <si>
    <t>NP Šumava, NPR Černé a Čertovo jezero, Bílá strž, Velký Ostrý, Velký Kokrháč, Svaroh</t>
  </si>
  <si>
    <t>Koráb, Rýzmberk, Vachatova věž</t>
  </si>
  <si>
    <t>Malý Špičák, Špičák,Habr,Můstek,Jedclová,Pancíř,Špičák, Pančíř, pramen Úhlavy, Křemelné</t>
  </si>
  <si>
    <t>NPP Vosek, Kotel</t>
  </si>
  <si>
    <t>Tok, Zámecký les, Sklářský vrch, Polom, Prenet, Malý Prenet, Švihov, Klenová,</t>
  </si>
  <si>
    <t>Javorník, Královský Kámen,Sv. Jan, Ždánov, Klostrmanova r.,Svatobor,Kašperk, souto Ostružné a Otavy</t>
  </si>
  <si>
    <t>NPP Konk, Zlatý kůň, NPR Koda, Kotýz</t>
  </si>
  <si>
    <t>soutok Merklínky a Radbuzy</t>
  </si>
  <si>
    <t>NPP Křže, Úpolínová louka, NPR Kladské rašeliny, Pluhův bor, Třasák, Bohušův vrch, Hamelika, Kamzík, Krásno, pramen Střely</t>
  </si>
  <si>
    <t>NPP Svatošské skály, Diana, Loket, Karlova , Doubská, Goethova, soutok Ohře a Rolavy a Teplé</t>
  </si>
  <si>
    <t>NPP Komorní hůrka, Bublák, NPR SOOS, Zámeček, Zelená hora, Chlum sv. Máří, Pánský vrch, Salinburg, Vávrova lávka</t>
  </si>
  <si>
    <t>NPR Chlumská stráň, Kohoutov, Týrov, Žebrák, Třenická hora, soutok Berounky a Klabavy</t>
  </si>
  <si>
    <t>NPR Radhošť, Radhošť, Radegast, + Z, Tanečnice + Z, Zmrzlý vrch, Nořičí hora, Stezka Valašska</t>
  </si>
  <si>
    <t>NPR Kněhyně - Čertův mlýn, Malá Stolová, Velká Stolová, Folverk, Čertův Mlýn, Kněhyně</t>
  </si>
  <si>
    <t>NPR Salajka, Vysoká, Miloňová , Čartak, pramen Vsetínské Bečvy, Rožnovské Bečvy</t>
  </si>
  <si>
    <t>NPR Odlezelské jezero, Schillerova, Tobiášův vrch, Vochlice, Černá věž - hrad Cheb, pramen Třemošné a Javornice</t>
  </si>
  <si>
    <t>pramen Vltavy</t>
  </si>
  <si>
    <t>Na Vrchách, Radost, soutok Berounky a Třemošné a Střely</t>
  </si>
  <si>
    <t>NPP Pastviště u Finů, Přilba, Homole, Výška, Churáňovský vrch, rozhledna Churáňov, pramen Spůlky</t>
  </si>
  <si>
    <t>Orlov, Studený vrch, Rožmitál, Památník Vojna, Řimbaba, Zvonička, pramen Kocáby</t>
  </si>
  <si>
    <t>Dolní Ždánidla, Poledník + rozhledna</t>
  </si>
  <si>
    <t>Milíře</t>
  </si>
  <si>
    <t>NPP Žehuňský rybník, Dlouhopolsko, NPR Kněžíčky, soutok Orlice a Labe</t>
  </si>
  <si>
    <t>NPP Barrandovské skály, Cikánka,Černá rokle, Dalejský profil, Lochkovský profil, Požáry, U Nového Mlýna, Barrandovské terasy, Modřany, Lahovický most, soutok Vltava a Berounka</t>
  </si>
  <si>
    <t>NPP Chejlava, Na Kožichu</t>
  </si>
  <si>
    <t>NPR Boubínský prales, Malý Bobík, Bobík, Boubín + rozhl.Třístoliční, Vysoký hřeben, Trojmezná, Nad Rakouskou cestou, Plechý, Nad Rakouskou loukou</t>
  </si>
  <si>
    <t>Rašeliniště Jizerky</t>
  </si>
  <si>
    <t>KRNAP, rozhledna Štěpánka</t>
  </si>
  <si>
    <t>Kamenný vrch</t>
  </si>
  <si>
    <t>NPP Semínský přesyp, NPR Bohdanečský rybník, Kladruby n.L.</t>
  </si>
  <si>
    <t>NPR Hůrka u Hranic, Maruška, Hostýn, Kelčský Javorník</t>
  </si>
  <si>
    <t>NPR Dářko, Radostínské rašeliniště, Bára II, Terezka, Na Stráži, Cimrmanova, Borůvka, soutok Labe a Jizery</t>
  </si>
  <si>
    <t>NPP Váté písky, Drahy</t>
  </si>
  <si>
    <t>Červený kopec,Pastvisko,Lednické rybníky,Minaret, Kolonáda</t>
  </si>
  <si>
    <t>NPR Krumlovsko-rokytenské slepence</t>
  </si>
  <si>
    <t>Brněnské výstaviště, Kamenný vrch</t>
  </si>
  <si>
    <t>NPP Stránská skála, NPR Hadecká planinka, Komec</t>
  </si>
  <si>
    <t>NPP Kukle,  rozhledny Nedánov a Hustopeče</t>
  </si>
  <si>
    <t>NPP Pouzdřanská step, soutok Jihlavy a Svratky</t>
  </si>
  <si>
    <t>Brdo, Salaš, Modrá</t>
  </si>
  <si>
    <t>Bratřice</t>
  </si>
  <si>
    <t>NPP Mohelenská hadcová step, Babylon, Těžní věž Kukla</t>
  </si>
  <si>
    <t>rozhl.Vl.Menšíka, Alfonse Muchy, soutok Jihlavy a Oslavy, a Rokytné</t>
  </si>
  <si>
    <t>soutok Svratka a Bobrava a Svitava</t>
  </si>
  <si>
    <t>NPP Poličské stěny, NPR Broumovské stěny, Trčkov,Velká Deštná, Šerlich,Ćebínka, Zlobice,Skuhrov, Vrbice, Anna</t>
  </si>
  <si>
    <t>Kraví hora, Stezka nad vinohrady, Slunečná, Dalibor, Maják</t>
  </si>
  <si>
    <t>Babí lom</t>
  </si>
  <si>
    <t>NPP Kaňk, U nových mlýnů, Havířská bouda, Kratochvílova rozhl., Říp</t>
  </si>
  <si>
    <t>NPR Libický luh, Maják, soutok Cidliny a Labe</t>
  </si>
  <si>
    <t>NPP Peklo, NPR Novozámecký rybník</t>
  </si>
  <si>
    <t>Brněnské výstaviště</t>
  </si>
  <si>
    <t>NP Podyjí</t>
  </si>
  <si>
    <t>NPR Lednické rybníky, Minaret</t>
  </si>
  <si>
    <t>Kraví hora</t>
  </si>
  <si>
    <t>Rumburak, soutok Dyje a Želetavky</t>
  </si>
  <si>
    <t>Bukovanský mlýn</t>
  </si>
  <si>
    <t>NPR Lednické rybníky</t>
  </si>
  <si>
    <t>NPP Miroslavské kopce</t>
  </si>
  <si>
    <t>NPP Červený kopec</t>
  </si>
  <si>
    <t>NPP Pastvisko,NPR Slanisko,Lednická kolonáda, Apollonův chrám, Kozí hrádek, Kolonáda Reistna,</t>
  </si>
  <si>
    <t>Čebínka, Zlobice</t>
  </si>
  <si>
    <t>NPP Jeskyně Pekárna,</t>
  </si>
  <si>
    <t>Kelčský Javorník</t>
  </si>
  <si>
    <t>Lahovický most</t>
  </si>
  <si>
    <t>NPP Dalejský profil, Požáry, U Nového mlýna</t>
  </si>
  <si>
    <t>Klínovec + rozhledna, Meluzína, Macecha</t>
  </si>
  <si>
    <t>NPP Rašovické skály, NPR Úhošť</t>
  </si>
  <si>
    <t>NPP Holý vrch</t>
  </si>
  <si>
    <t>NPP Koda</t>
  </si>
  <si>
    <t>Máminka,Říp</t>
  </si>
  <si>
    <t>NPKrkonoše, Luční hora</t>
  </si>
  <si>
    <t>Smrk</t>
  </si>
  <si>
    <t>Radegast</t>
  </si>
  <si>
    <t>Kabátice</t>
  </si>
  <si>
    <t>Javorový, Šindelná, Ropice</t>
  </si>
  <si>
    <t>NPR Kněhyně-Čertův mlýn, M.+V. Stolová, Kněhyně, Čertův mlýn</t>
  </si>
  <si>
    <t>Tanečnice, Zmrzlý vrch, Nořičí hora, stezka Valašska</t>
  </si>
  <si>
    <t>NPP Šipka, Štramberská trúba, Bílá hora, Bezručova vyhlídka</t>
  </si>
  <si>
    <t>Okrouhlá</t>
  </si>
  <si>
    <t>rozhledna Vl. Menšíka, Kukla</t>
  </si>
  <si>
    <t>NPR Velký a Malý Tisý, rozhledna Lomnice n.L.</t>
  </si>
  <si>
    <t>Stropnice+Malše</t>
  </si>
  <si>
    <t>rozhledna Semenec, soutok Vltavy+Lužnice,Lužnice+Smutné</t>
  </si>
  <si>
    <t>hora Vysoká, rozhledna Kraví hora</t>
  </si>
  <si>
    <t>NPR Řežab. tůně, rozhl.Řežabinec, soutok Blanice a Otavy</t>
  </si>
  <si>
    <t>Vysoký Kamýk</t>
  </si>
  <si>
    <t>Hýlačka, Kotnov, Babina</t>
  </si>
  <si>
    <t>NPR Vyšenské kopce, Žebříkový kámen, Granátník</t>
  </si>
  <si>
    <t>NPP Chýnovské jesk.,Svákov,Čermák.vrch,Choustník,Šelmberk</t>
  </si>
  <si>
    <t>Na Skalce,Rohanovský vrch,Libín,Helfenburk,Archeo Netolice</t>
  </si>
  <si>
    <t>Javorník, Královský kámen ,Kamenná h., Javorník, Mařský vrch</t>
  </si>
  <si>
    <t>NPP Rovná, Čestice, Hoslovice, Kbíl, Strakonice, Otava+Volyňka</t>
  </si>
  <si>
    <t>Velký Kamýk,Vltava + Otava, Otava + Lomnice, Lomnice + Skalice</t>
  </si>
  <si>
    <t>Kovářka, Blaník rozhledna + hora</t>
  </si>
  <si>
    <t>Lužnice+Černovický p.+Kozský p.+Dírensky p.Blanice,Trnava</t>
  </si>
  <si>
    <t>Slabošovka, soutok Malše a Černé</t>
  </si>
  <si>
    <t>NPP Vizír,NPR Stará a Nová řeka,soutok:.Lužnice+Koštěnický p.,Dračice, pramen Nová řeka,Zlatá stoka</t>
  </si>
  <si>
    <t>NPR Čertova stěna, Vítkův kámen + rozhledna, Velký Plešný,Medvědí vrch</t>
  </si>
  <si>
    <t>Kostelní Hlavno,Mandava,Konopišťský p.+Sázava,Labe+Jizera,pramen:Konopišťský p.,Chotýšanka,Botič,Rokytka</t>
  </si>
  <si>
    <t>Vltava+Křemežský p., Vltava +Polečnice,pramen Bezdrevského p.</t>
  </si>
  <si>
    <t>NPP Stročov,Doubravka, Jenštejn,Žižkovský vysílač,Vltava+Rokytka+Botič,pramen Mastníku</t>
  </si>
  <si>
    <t>NPP Ruda, soutok Lužnice a Nežárka a Zlatá stoka</t>
  </si>
  <si>
    <t>Hrb,Světlá hora,Bukovec,Kamenná,Nad Pasekou,Volyňka+Peklov+Spůlka,pramen Peklov,Volyňka</t>
  </si>
  <si>
    <t>Kamenec, Myslivna, soutok Černé + Pohořského potoka, pramen Lužnice, Pohořského potoka</t>
  </si>
  <si>
    <t>NPP Terčino údolí, NPR Žofinka</t>
  </si>
  <si>
    <t>NP Šumava,Ždánov,Valy,Popelná,Churáňovský vrch,Homole,Výška,Přilba,Kašperk,Churáňov,Svatobor,Rabí,Sedlo u Sušice,soutok Otavy a Losenice a Ostružné,pramen:Spůlka,Losenice,Klabava,Skalice,Úslava</t>
  </si>
  <si>
    <t>NPP Olšina, Jezerní vyhlídka, Stezka korunami stromů, Hvězda, Vlčí kámen, Špičák, Nad Hospodářnicí</t>
  </si>
  <si>
    <t>NPR Brouskův mlýn,Kupa, Radětice,soutok Lužnice a Židovy strouhy,Nežárky a Nové řeky,pramen Smutné, Kamenice , Židovy strouhy</t>
  </si>
  <si>
    <t>NPP Hojkovské rašeliniště, NPP Luční,  NPR Velký Špičák, Křemešník, Rýdlův kopec, Hradní věž - JH, Oslednice, soutok Kamenice a žirovnice,Nežárka a Hamerský p., pramen Nežárka, Černovický p., Hamerský p. Jihlava, Moravské Dyje</t>
  </si>
  <si>
    <t>NPR Žofínský prales,Hradišťský vrch,pramen Černé</t>
  </si>
  <si>
    <t>NPR Albertov, Jarník, Kuníček, Onen svět, Milada, Vrškamýk, Drahoušek, soutok Vltavy a Mastníku</t>
  </si>
  <si>
    <t>Kožich, Šťastná věž, Na skále, Rožmitál, Řimbaba, Vojta, pramen: Lamnice, Litavyka, Kocába</t>
  </si>
  <si>
    <t>Neštětická hora, Veselský vrch, Drtinova rozhl., Pepř, soutok Vlatvy a Kocáby</t>
  </si>
  <si>
    <t>NPR Velká niva, Boubín, Soumarský most, Boubín + rozhl.,Radvanovický hřbet, Kupa, Chlustov,soutok Vltavy a Řasnice,</t>
  </si>
  <si>
    <t>Kosice, Chlum u HK, soutok Labe a Orlice, Cidliny a Bystřice</t>
  </si>
  <si>
    <t xml:space="preserve">NPP Blanice, Prameniště Blanice, Větrný, Doupná hora I a II, Na Skále, pramen Zlatého potoka </t>
  </si>
  <si>
    <t>NPPKaproun, Hvězdná, Landštejn, Rožmberk, U Jakuba, pramen Žirovnice, Dračice, Koštěnického potoka</t>
  </si>
  <si>
    <t>NPP Březinské tisy, NPR Sedlo, Hořidla,Kohout, Kratochvílova, Ploučnická vyhlídka, Strážný vrch, Víťova rozhledna,soutok Labe a Liběchovky, Říp,</t>
  </si>
  <si>
    <t>NPP Holý vrch, Polabská černava, Letiště Letňany, NPR Větrušická rokle, Libčice, soutok Labe a Vltavy a Pšovky, pramen Kozského potoka</t>
  </si>
  <si>
    <t>NP Českosaské švýcarsko, NPP Zlatý vrch, NPR Pravčická brána, Kaňon Labe, Růžák,Janov, Růženka,Studenec,Sokolí vrch, Velký Chlum,Pastýřská stěna, soutok Labe a Kamenice a Ploučnice</t>
  </si>
  <si>
    <t>Milíř, Vrbice, soutok Zdobnice a Divoká Orlice, Divoké a Tiché Orlice, Labe a Opatovický kanál, Bělé a Kněžné, Dědiny a Orlice, Bělé a Divoké Orlice, pramen Orlice</t>
  </si>
  <si>
    <t>NPP Hojná Voda, pramen Stropnice</t>
  </si>
  <si>
    <t>Břemeno, Březová hora,Huťská hora,Jelení kaliště,Lapka,Orel,Sokol-Antýgl,Tetřev,vyhlídková věž Jezerní slať,pramen Vydry</t>
  </si>
  <si>
    <t>Vysoký hřeben, Trojmezná, Nad rakouskou loukou, Plechý, Nad rakouskou cestou, Studničná, Hraničník, Smrčina, Třístoličník</t>
  </si>
  <si>
    <t>NPP Hadce u Želivky,NPR Ve Studeném,Orlík, Český Šternberk,Březina, Bohdanka,Babka,Petrovice II, Zruč n.S.,Vysoká,soutok Blanice a Sázavy, Martinského potoka a Želivky, Trnavy a Želivky,Želivky a Sázavy, pramen Výrovky,</t>
  </si>
  <si>
    <t>NPP Cikánka, Černá rokle, Dalejský profil, Lochkovský profil, Medník, Požáry, U Nového mlýna, Lahovický most, soutok Beronky a Vltavy, Vltavy a Sázavy,</t>
  </si>
  <si>
    <t>NPP Vosek, Kotel, Radost, soutok Klabavy a Berounky, Třemošné a Berounky, Střely a Berounky</t>
  </si>
  <si>
    <t>NPP Pískovna Erika, NPR Rolavská vrchoviště,Plešivec + rozhl., Cibulka, Hard, Krudum, Loket,Tisovský vrch, soutok Rotavy a Svatavy, Ohře a Svatavy, pramen Rotavy</t>
  </si>
  <si>
    <t>NPP Bublák a niva Plesné, Komorní hůrka, Lužní potok, Svatošské skály, NPR Soos, Háj u Aše, , Černá věž, Salingburg,Stráž, Zámeček, Zelená hora</t>
  </si>
  <si>
    <t>Krkavec, Sylván, Radyně, Na Vrchách, Chlum, soutok Mže a Radbuzy, Úhlavy a Radbuzy, Úslavy a Berounky, pramen Berounky,</t>
  </si>
  <si>
    <t>NPR Pochválovská stráň, Malý a Velký Štít,Vochlice, Tobiášův vrch, Schillerova rozhledna, Senecká hora, Líský, Mackova rozhledna, pramen Rakovnického p., Loděnice, Klíčavy</t>
  </si>
  <si>
    <t>NPR Vůznice,Vysoký vrch, Studený vrchVelká Buková,Máminka, Zvonička,soutok Berounky a Klíčavy , Vůznice, Rakovnického potoka, pramen Vůznice</t>
  </si>
  <si>
    <t>NP Krkonoše,Čertova hora, Janova skála,  Bramberk, Černá Studnice, Královka, Nisanka, Petřín, Prosečský hřeben,Slovanka, Štěpánka, Tanvaldský Špičák, Maják Járy Cimrmana, soutok Černé Desné a Kamenice, Černé Desné a Bílé Desné, Mumlavy a Jizery</t>
  </si>
  <si>
    <t>NPR Karlštejn, Koda, Děd, Kožova hora, Lhotka u Berouna, Městská hora, Veselov, soutok Berounky a Litavky a Loděnice</t>
  </si>
  <si>
    <t>NPP Čerova zeď,Kozákov, Suché skály, NPR Karlovské bučiny , Ještěd + rozhl., Císařský kámen, Frýdštejn,Kopanina, Kozákov, Liberecká výšina Lidové sady, Rašovka, Vrchovina, soutok Lužické a Černé Nisy, pramen Mohelky</t>
  </si>
  <si>
    <t>NP Podyjí, NPR Červené blato, Anička, Mařenka, Rumburak, soutok Zeletavy a dyje</t>
  </si>
  <si>
    <t>NPP Dlouhopolsko, Žehuňský rybník, NPR Kněžičky, Libický luh,Voděřadské bučiny,  Bedřichova vyhlídka, Černá věž, Polní Chrčice, Skalka, Vinice, soutok Labe a Cidliny, Vltavy a Malše, pramen Šembery</t>
  </si>
  <si>
    <t xml:space="preserve">Kleť </t>
  </si>
  <si>
    <t>NPR Řežabinské tůně, rozh. Řežabinec, Blanice a Otavy</t>
  </si>
  <si>
    <t>pramen Chrudimky</t>
  </si>
  <si>
    <t>soutok Lužnice a Vltavy, Semenec</t>
  </si>
  <si>
    <t>Bramberk, Královka, Nisanka, Slovanka,Černá studnice</t>
  </si>
  <si>
    <t>Liberec.výšina, Lidové sady, Rašliniště Jizerky, Nisa,Bukovec</t>
  </si>
  <si>
    <t>Žebříkový kámen</t>
  </si>
  <si>
    <t>soutok Křemžského potoka a Vltavy</t>
  </si>
  <si>
    <t>pramen Bezdrevského potoka</t>
  </si>
  <si>
    <t>pramen Křemežského potoka</t>
  </si>
  <si>
    <t>NPR Adršpašsko-teplické skály, Čáp</t>
  </si>
  <si>
    <t>NPR Broumovské stěny, NPP  Polické stěny</t>
  </si>
  <si>
    <t>NPP Ruda, NPR Vyšenské kopce</t>
  </si>
  <si>
    <t>Knížecí stolec + rozhl., Skalky, Uhlíkovský kopec, Suchá hora</t>
  </si>
  <si>
    <t>NP Šumava, NPP Prameniště Blanice, Blanice, Křemenná, Doupná hora, Na Skále,Na skalce, Rohanovský vrch, Větrný, pramen Zlatého potoka</t>
  </si>
  <si>
    <t>NPR ˇČervené Blato, NPR Brouskův mlýn, Archeopark Netolice</t>
  </si>
  <si>
    <t>NPP Olšina, Kapradinec - J vrchol, Nad hospodárnicí, Špičák</t>
  </si>
  <si>
    <t>NPP Skalická Morávka, Landek, NPR Radhošť,Kněhyně, Mazák, Radhošť, Radegast Z vrchol, Radegast, Tanečnice Z vrchol, Tanečnice, Nořičí hora, Čertův mlýn, Malá Stolová, Vysoká, Lysá,Jurkovičova, Stezka Valašska,Velký Javorník, Čarták,Malá Prašivá, Landek, Černá + Bílá Ostravice, Ostravice + Odra, pramen Jičínky, Vsetínské Bečvy,Rožnovské Bečvy,Lučiny</t>
  </si>
  <si>
    <t>NPP Hojná Voda, Vysoká, Kamenec, Hradišťský vrch, soutok Černé a Pohořskeho p., pramen Pohořského p.</t>
  </si>
  <si>
    <t>NPP Terčino údolí</t>
  </si>
  <si>
    <t>NPR Velká Niva,Homole, Výška, Chrýáňovský vrch, Kamenná, Bukove Světlá hora, Obrove, Obrove JV vrchol, Churáňov, pramen Spůlky, Volyňky</t>
  </si>
  <si>
    <t>Dobronice, Radětice, soutok Lužnice a Smutné a Židovy strouhy</t>
  </si>
  <si>
    <t>NPR Kraličký Sněžník + vrchol, Klepáč, Hleďsebe, Malý Sněžník, Stříbrnická, Blaník, Klepáč,soutok Želivky a Sázavy, pramen Moravy, hora Blaník</t>
  </si>
  <si>
    <t>Černá kupa, Sušina, Podbělka, Babuše, Souš, Slamník, Stezka v oblacích</t>
  </si>
  <si>
    <t>Jeřáb, Val, Suchý vrch,Rozálka,Vrbice, soutok Zdobnice a Divoké Orlikce, Kněžné a Bělé, pramen Tiché Orlice</t>
  </si>
  <si>
    <t>NPR Boubín, Boubín + rozhledna, Větřín, Solovec, Malý Bobík, Zátoňská hora, Soumarský most, soutok Řasnice a Vltavy</t>
  </si>
  <si>
    <t>NPP Vizír, NPR Žofinka, Stará a Nová řeka, soutok Lužnice a Koštěnického p., a Dračice, soutok Stropnice a Malše, pramen Zlaté stoky a Nové řeky</t>
  </si>
  <si>
    <t>NPP Luční, Hýlačka, Babina, Čermákův vrch, Choustník, Svákov, Kotnov, soutok Lužnice a Dírenského p., Černovického pl, Kozského p.</t>
  </si>
  <si>
    <t>NPR Čertova stěna,Vítkův kámen + rozhl,, Medvědí vrch, Svatý Tomáš, Velký Plešný, Rožmberk</t>
  </si>
  <si>
    <t>NPP Rovná, Javorník + rozhl, Královský kámen, Kašperk, Strakonice, soutok Volyňky a Otavy</t>
  </si>
  <si>
    <t>NPR Ransko, Radostínské rašeliniště, Dářko, Žákova hora, soutok Polečnice a Vltavy, pramen Svratky, Doubravy</t>
  </si>
  <si>
    <t>NPP Zhejral, Kaproun, Krvavý a Kačležský rybník, Třístoličník, Vysoký hřeben, Trojmezná, Nad Rakouskou loukou, Plechý, Studničná,NadRakouskou cestou, Hraničník, Smrčina, Jindřichův Hradec, U Jakuba, Rydův kopec, soutok Nežárky a Lužnice a Hamerského potoka, Kamenice a Žirovnice, pramen Dračice, Koštěnického potoka</t>
  </si>
  <si>
    <t>Libín + rozhl.. Orel, Břemeno, Lapka, Jelení kaliště, Huťská hora, Jezerní slať, Mařský vrch, soutok Otavy a Losenice, Vydry a Křemelné, pramen Otavy</t>
  </si>
  <si>
    <t>Holý vrch, Stráž, Nad Bučinou, Stolová hora, Vysoký stolec´, Kostelní vrch, + J vrchol, Adamova hora, Oblík, Jezernice, Hoslovice, Čestice,soutok Vltavy a Bezdrevského potoka, pramen Vltavy</t>
  </si>
  <si>
    <t>NPR Černé a Čertovo jezero, Bílá strž, Malý Prenet, Prenet, Můstek, Habr, Pancíř + rozhl,, Ostrý, Velký Kokrháč, Svaroh, Jezerní hora, Malý, Špičák, Špičák + rozhl., pramen Úhlavy</t>
  </si>
  <si>
    <t>NPP Kaňkovy hory, NPR Lichnice, Milada,Lipnice,  soutok Sázavy a Sázavky</t>
  </si>
  <si>
    <t>NPP Úpolínová louka, Křížky, NPR Rolavské vrchoviště, Božídarské řašeliniště, Pluhův bor, Kladské rašeliny, Vysoká seč, Loučná, Meluzína, Hubertky,božídařský Špičák , Dub S vrchol,Klínovec + rozhl., ,Plešivec + rozhl.,  Blatenský vrch + rozhl., Boží vyhlídka, pramen Rolavy, Bystřice,</t>
  </si>
  <si>
    <t>NPR Žofínský prales,Strážný S vrchol, Strážný, Žďárecká hora, Jelení hora Z vrchol,Jezerní slať S vrchol, Polecký vrch, Velký Kamýk, Slabošovka, soutok Vltavy a Otavy, Otavy a Lomnice, Lomnice a Skalice, Černé a Malše, pramen Černé, Řasnice,</t>
  </si>
  <si>
    <t>NPP Chýnovská jeskyně,Černá věž,  pramen Blanice, Trnavy</t>
  </si>
  <si>
    <t>NPPStročov, NPR Drbákov-Albertovy skály, Drtinova rozhl., Veselý vrch, Vrškamýk, Milada, Langova, Kuníček, soutok Mastníku a Vltavy, Zlaté stoky a Lužnice, pramen Mastníku, Smutné</t>
  </si>
  <si>
    <t xml:space="preserve"> </t>
  </si>
  <si>
    <t>Body</t>
  </si>
  <si>
    <t>Navštívená místa
(červeně = psi nevítáni)</t>
  </si>
  <si>
    <t>Psi nevítáni v místě:</t>
  </si>
  <si>
    <t>Odkaz na trasu 
(nejlépe na - mapy.cz)</t>
  </si>
  <si>
    <t>restaurace Velký Javorník</t>
  </si>
  <si>
    <t xml:space="preserve">https://mapy.cz/s/3keYZ </t>
  </si>
  <si>
    <t>https://mapy.cz/s/3ljEn</t>
  </si>
  <si>
    <t>https://mapy.cz/s/3sbVa</t>
  </si>
  <si>
    <t>https://mapy.cz/s/3moH0</t>
  </si>
  <si>
    <t>https://mapy.cz/turisticka?planovani-trasy&amp;x=14.9244701&amp;y=49.7996063&amp;z=16&amp;box=1&amp;rc=95X-ixWOUBgg6ff5hiNgp0hunG6f6NhhseGqg.ufWj50XX03fCeoN3ZQ&amp;rs=coor&amp;rs=coor&amp;rs=coor&amp;rs=coor&amp;rs=coor&amp;rs=coor&amp;rs=addr&amp;rs=coor&amp;rs=coor&amp;ri=&amp;ri=&amp;ri=&amp;ri=&amp;ri=&amp;ri=&amp;ri=9430374&amp;ri=&amp;ri=&amp;mrp=%7B%22c%22%3A132%7D&amp;rt=&amp;rt=&amp;rt=&amp;rt=&amp;rt=&amp;rt=&amp;rt=&amp;rt=&amp;rt=&amp;xc=%5B%5D</t>
  </si>
  <si>
    <t>https://mapy.cz/s/3mRXL</t>
  </si>
  <si>
    <t xml:space="preserve">https://mapy.cz/s/3nmSt
</t>
  </si>
  <si>
    <t>https://mapy.cz/s/3nsZE</t>
  </si>
  <si>
    <t>https://mapy.cz/s/3nIOO</t>
  </si>
  <si>
    <t>https://mapy.cz/s/3nZ8J</t>
  </si>
  <si>
    <t>https://mapy.cz/s/3ogwc</t>
  </si>
  <si>
    <t>https://mapy.cz/s/3oE1D</t>
  </si>
  <si>
    <t xml:space="preserve">https://mapy.cz/s/3p0mF </t>
  </si>
  <si>
    <t xml:space="preserve">https://mapy.cz/s/3p7Ol </t>
  </si>
  <si>
    <t>https://mapy.cz/s/3sbYP</t>
  </si>
  <si>
    <t>https://mapy.cz/s/3pkqB</t>
  </si>
  <si>
    <t>https://mapy.cz/s/3pziZ</t>
  </si>
  <si>
    <t>https://mapy.cz/s/3pzjt</t>
  </si>
  <si>
    <t>https://mapy.cz/s/3pDgJ</t>
  </si>
  <si>
    <t>https://mapy.cz/s/3sbYv</t>
  </si>
  <si>
    <t>https://mapy.cz/s/3pLEy</t>
  </si>
  <si>
    <t xml:space="preserve">https://mapy.cz/s/3pQvu </t>
  </si>
  <si>
    <t xml:space="preserve">https://mapy.cz/s/3pUMR </t>
  </si>
  <si>
    <t xml:space="preserve">https://mapy.cz/s/3q3ip </t>
  </si>
  <si>
    <t xml:space="preserve">https://mapy.cz/s/3qkKB </t>
  </si>
  <si>
    <t xml:space="preserve">https://mapy.cz/s/3qyW4 </t>
  </si>
  <si>
    <t xml:space="preserve">https://mapy.cz/s/3qBEc </t>
  </si>
  <si>
    <t>CHilli</t>
  </si>
  <si>
    <t>https://mapy.cz/s/3sbY8</t>
  </si>
  <si>
    <t xml:space="preserve">https://mapy.cz/s/3qZ8M </t>
  </si>
  <si>
    <t>https://mapy.cz/s/3sbXX</t>
  </si>
  <si>
    <t xml:space="preserve">https://mapy.cz/s/3rglf </t>
  </si>
  <si>
    <t xml:space="preserve">https://mapy.cz/s/3rgnP </t>
  </si>
  <si>
    <t xml:space="preserve">https://mapy.cz/s/3rgpO </t>
  </si>
  <si>
    <t xml:space="preserve">https://mapy.cz/s/3rgqO </t>
  </si>
  <si>
    <t>https://mapy.cz/s/3sbXt</t>
  </si>
  <si>
    <t xml:space="preserve">https://mapy.cz/s/3rw37 </t>
  </si>
  <si>
    <t xml:space="preserve">https://mapy.cz/s/3rNd5 </t>
  </si>
  <si>
    <t xml:space="preserve">https://mapy.cz/s/3rNcF </t>
  </si>
  <si>
    <r>
      <rPr>
        <sz val="10"/>
        <color rgb="FFFF0000"/>
        <rFont val="Arial"/>
      </rPr>
      <t xml:space="preserve">Velký Javorník, </t>
    </r>
    <r>
      <rPr>
        <sz val="10"/>
        <color rgb="FF000000"/>
        <rFont val="Arial"/>
      </rPr>
      <t>Jurkovičova, pramen Jičínky</t>
    </r>
  </si>
  <si>
    <t xml:space="preserve">https://mapy.cz/s/3s96f </t>
  </si>
  <si>
    <t>https://en.mapy.cz/s/3sFuv</t>
  </si>
  <si>
    <t>https://en.mapy.cz/s/3sGNI</t>
  </si>
  <si>
    <t>https://mapy.cz/s/3sLx9</t>
  </si>
  <si>
    <r>
      <rPr>
        <sz val="10"/>
        <color rgb="FF000000"/>
        <rFont val="Arial"/>
      </rPr>
      <t>Břasy</t>
    </r>
    <r>
      <rPr>
        <b/>
        <sz val="10"/>
        <color rgb="FF000000"/>
        <rFont val="Arial"/>
      </rPr>
      <t xml:space="preserve">, </t>
    </r>
    <r>
      <rPr>
        <sz val="10"/>
        <color rgb="FF000000"/>
        <rFont val="Arial"/>
      </rPr>
      <t>Líně, soutok Berounky a Třemošné a Střely</t>
    </r>
  </si>
  <si>
    <t>Radhošť, Lysá hora, Velký Javorník, Hotel Čeladenka - psi smí jen na zahrádku</t>
  </si>
  <si>
    <t>Vary lidl</t>
  </si>
  <si>
    <t>Trasa 8,2 km • 3:02 hod</t>
  </si>
  <si>
    <t>https://mapy.cz/s/3vwvo</t>
  </si>
  <si>
    <t>https://mapy.cz/s/3xc0p</t>
  </si>
  <si>
    <t>https://mapy.cz/s/3xbsd</t>
  </si>
  <si>
    <t>https://mapy.cz/s/3ya51 https://mapy.cz/s/3ya5m</t>
  </si>
  <si>
    <t>https://mapy.cz/s/puvobasoju</t>
  </si>
  <si>
    <t>https://mapy.cz/s/kemuvuvana</t>
  </si>
  <si>
    <t>https://mapy.cz/s/cubeguguto</t>
  </si>
  <si>
    <t>https://mapy.cz/s/bufevubuva</t>
  </si>
  <si>
    <t>https://mapy.cz/s/dorevuzube</t>
  </si>
  <si>
    <t>https://mapy.cz/s/lujupohugo</t>
  </si>
  <si>
    <t xml:space="preserve">https://mapy.cz/s/popenomere </t>
  </si>
  <si>
    <t>https://mapy.cz/s/lobutefuba</t>
  </si>
  <si>
    <t xml:space="preserve">https://mapy.cz/s/jepehocova </t>
  </si>
  <si>
    <t xml:space="preserve">https://mapy.cz/s/copofugoja </t>
  </si>
  <si>
    <t xml:space="preserve">https://mapy.cz/s/kobobareno  </t>
  </si>
  <si>
    <t xml:space="preserve">https://mapy.cz/s/fumatefepa </t>
  </si>
  <si>
    <t>https://mapy.cz/s/bulonopepu?fbclid=IwAR3ON1KjQTdIYzT_On0PvYZpUTZFGELHLWoN-Lx0u3N011cJMACLMtbTU50</t>
  </si>
  <si>
    <t xml:space="preserve">https://mapy.cz/s/kubesukata https://mapy.cz/s/movofukepa   </t>
  </si>
  <si>
    <t>NPR Jizerskohorské bučiny, Karlovské bučiny, Jizera, Černé věžičky, Holubník, Černá hora, Ptačí kupy, Polední kameny, Smědavská hora, Ještěd + rozhl, Císařský kámen, Petřín, Královka, Slovanka, Bramberk, Proseč, Nisanka, Na Čihadle, Liberecká výšina, Lido</t>
  </si>
  <si>
    <t>NPP Skalická Morávka, Landek, NPR Radhošť,Kněhyně, Mazák, Radhošť, Radegast Z vrchol, Radegast, Tanečnice Z vrchol, Tanečnice, Nořičí hora, Čertův mlýn, Malá Stolová, Vysoká, Lysá,Jurkovičova, Stezka Valašska,Velký Javorník, Čarták,Malá Prašivá, Landek, Č</t>
  </si>
  <si>
    <t>NPP Zhejral, Kaproun, Krvavý a Kačležský rybník, Třístoličník, Vysoký hřeben, Trojmezná, Nad Rakouskou loukou, Plechý, Studničná,NadRakouskou cestou, Hraničník, Smrčina, Jindřichův Hradec, U Jakuba, Rydův kopec, soutok Nežárky a Lužnice a Hamerského potok</t>
  </si>
  <si>
    <t>NPP Úpolínová louka, Křížky, NPR Rolavské vrchoviště, Božídarské řašeliniště, Pluhův bor, Kladské rašeliny, Vysoká seč, Loučná, Meluzína, Hubertky,božídařský Špičák , Dub S vrchol,Klínovec + rozhl., ,Plešivec + rozhl.,  Blatenský vrch + rozhl., Boží vyhlí</t>
  </si>
  <si>
    <t>(prázdné)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</si>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</sst>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\.yyyy"/>
  </numFmts>
  <fonts count="27" x14ac:knownFonts="1">
    <font>
      <sz val="11"/>
      <color rgb="FF000000"/>
      <name val="Calibri"/>
    </font>
    <font>
      <sz val="14"/>
      <name val="Calibri"/>
    </font>
    <font>
      <b/>
      <sz val="14"/>
      <color rgb="FFFF0000"/>
      <name val="Calibri"/>
    </font>
    <font>
      <b/>
      <i/>
      <sz val="14"/>
      <color rgb="FF000000"/>
      <name val="Calibri"/>
    </font>
    <font>
      <b/>
      <sz val="14"/>
      <color rgb="FF000000"/>
      <name val="Calibri"/>
    </font>
    <font>
      <sz val="14"/>
      <color rgb="FFFFFFFF"/>
      <name val="Calibri"/>
    </font>
    <font>
      <sz val="14"/>
      <color rgb="FF000000"/>
      <name val="Calibri"/>
    </font>
    <font>
      <b/>
      <sz val="14"/>
      <name val="Calibri"/>
    </font>
    <font>
      <b/>
      <sz val="20"/>
      <name val="Calibri"/>
    </font>
    <font>
      <sz val="18"/>
      <name val="Calibri"/>
    </font>
    <font>
      <b/>
      <i/>
      <sz val="18"/>
      <name val="Calibri"/>
    </font>
    <font>
      <b/>
      <sz val="12"/>
      <name val="Calibri"/>
    </font>
    <font>
      <sz val="11"/>
      <name val="Calibri"/>
    </font>
    <font>
      <b/>
      <sz val="10"/>
      <color rgb="FF000000"/>
      <name val="Arial"/>
    </font>
    <font>
      <b/>
      <sz val="10"/>
      <name val="Arial"/>
    </font>
    <font>
      <b/>
      <sz val="10"/>
      <color rgb="FF4472C4"/>
      <name val="Arial"/>
    </font>
    <font>
      <b/>
      <sz val="10"/>
      <color rgb="FFFF0000"/>
      <name val="Arial"/>
    </font>
    <font>
      <sz val="10"/>
      <color rgb="FF000000"/>
      <name val="Arial"/>
    </font>
    <font>
      <sz val="10"/>
      <name val="Arial"/>
    </font>
    <font>
      <sz val="10"/>
      <color rgb="FFFF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455C83"/>
      <name val="Arial"/>
    </font>
    <font>
      <u/>
      <sz val="10"/>
      <color rgb="FF000000"/>
      <name val="Arial"/>
    </font>
    <font>
      <sz val="11"/>
      <color rgb="FFFF0000"/>
      <name val="Arial"/>
    </font>
    <font>
      <u/>
      <sz val="9"/>
      <color rgb="FF000000"/>
      <name val="Arial"/>
    </font>
    <font>
      <u/>
      <sz val="11"/>
      <color rgb="FF0000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7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9" fillId="0" borderId="0" xfId="0" applyFont="1"/>
    <xf numFmtId="0" fontId="10" fillId="9" borderId="3" xfId="0" applyFont="1" applyFill="1" applyBorder="1"/>
    <xf numFmtId="0" fontId="10" fillId="9" borderId="3" xfId="0" applyFont="1" applyFill="1" applyBorder="1" applyAlignment="1">
      <alignment horizontal="center"/>
    </xf>
    <xf numFmtId="0" fontId="11" fillId="0" borderId="0" xfId="0" applyFont="1"/>
    <xf numFmtId="0" fontId="13" fillId="0" borderId="4" xfId="0" applyFont="1" applyBorder="1" applyAlignment="1">
      <alignment horizontal="center" wrapText="1"/>
    </xf>
    <xf numFmtId="164" fontId="14" fillId="4" borderId="5" xfId="0" applyNumberFormat="1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left" wrapText="1"/>
    </xf>
    <xf numFmtId="0" fontId="15" fillId="4" borderId="5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13" fillId="4" borderId="6" xfId="0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left"/>
    </xf>
    <xf numFmtId="0" fontId="16" fillId="4" borderId="2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left"/>
    </xf>
    <xf numFmtId="0" fontId="13" fillId="0" borderId="7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7" fillId="0" borderId="9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5" fillId="0" borderId="11" xfId="0" applyFont="1" applyBorder="1" applyAlignment="1">
      <alignment horizontal="center" wrapText="1"/>
    </xf>
    <xf numFmtId="0" fontId="17" fillId="0" borderId="12" xfId="0" applyFont="1" applyBorder="1" applyAlignment="1">
      <alignment horizontal="left"/>
    </xf>
    <xf numFmtId="0" fontId="19" fillId="0" borderId="12" xfId="0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 wrapText="1"/>
    </xf>
    <xf numFmtId="164" fontId="18" fillId="0" borderId="14" xfId="0" applyNumberFormat="1" applyFont="1" applyBorder="1" applyAlignment="1">
      <alignment horizontal="center"/>
    </xf>
    <xf numFmtId="0" fontId="18" fillId="0" borderId="3" xfId="0" applyFont="1" applyBorder="1"/>
    <xf numFmtId="0" fontId="15" fillId="0" borderId="3" xfId="0" applyFont="1" applyBorder="1" applyAlignment="1">
      <alignment horizontal="center" wrapText="1"/>
    </xf>
    <xf numFmtId="0" fontId="18" fillId="0" borderId="3" xfId="0" applyFont="1" applyBorder="1" applyAlignment="1">
      <alignment horizontal="center"/>
    </xf>
    <xf numFmtId="0" fontId="19" fillId="0" borderId="15" xfId="0" applyFont="1" applyBorder="1"/>
    <xf numFmtId="0" fontId="19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left"/>
    </xf>
    <xf numFmtId="0" fontId="17" fillId="0" borderId="7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8" fillId="0" borderId="15" xfId="0" applyFont="1" applyBorder="1"/>
    <xf numFmtId="164" fontId="18" fillId="0" borderId="14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left" wrapText="1"/>
    </xf>
    <xf numFmtId="0" fontId="17" fillId="0" borderId="3" xfId="0" applyFont="1" applyBorder="1" applyAlignment="1">
      <alignment horizontal="center" wrapText="1"/>
    </xf>
    <xf numFmtId="0" fontId="17" fillId="0" borderId="15" xfId="0" applyFont="1" applyBorder="1" applyAlignment="1">
      <alignment horizontal="left"/>
    </xf>
    <xf numFmtId="0" fontId="18" fillId="0" borderId="11" xfId="0" applyFont="1" applyBorder="1"/>
    <xf numFmtId="0" fontId="18" fillId="0" borderId="11" xfId="0" applyFont="1" applyBorder="1" applyAlignment="1">
      <alignment horizontal="center"/>
    </xf>
    <xf numFmtId="0" fontId="18" fillId="0" borderId="12" xfId="0" applyFont="1" applyBorder="1"/>
    <xf numFmtId="0" fontId="20" fillId="0" borderId="16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22" fillId="10" borderId="16" xfId="0" applyFont="1" applyFill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2" fillId="0" borderId="15" xfId="0" applyFont="1" applyBorder="1"/>
    <xf numFmtId="0" fontId="13" fillId="0" borderId="15" xfId="0" applyFont="1" applyBorder="1" applyAlignment="1">
      <alignment horizontal="left"/>
    </xf>
    <xf numFmtId="0" fontId="25" fillId="10" borderId="16" xfId="0" applyFont="1" applyFill="1" applyBorder="1" applyAlignment="1">
      <alignment horizontal="left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26" fillId="0" borderId="16" xfId="0" applyFont="1" applyBorder="1"/>
    <xf numFmtId="164" fontId="18" fillId="0" borderId="18" xfId="0" applyNumberFormat="1" applyFont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left"/>
    </xf>
    <xf numFmtId="0" fontId="19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NumberFormat="1"/>
    <xf numFmtId="164" fontId="18" fillId="0" borderId="10" xfId="0" applyNumberFormat="1" applyFont="1" applyBorder="1" applyAlignment="1">
      <alignment horizontal="center" wrapText="1"/>
    </xf>
    <xf numFmtId="0" fontId="17" fillId="0" borderId="11" xfId="0" applyFont="1" applyBorder="1" applyAlignment="1">
      <alignment horizontal="left" wrapText="1"/>
    </xf>
    <xf numFmtId="0" fontId="17" fillId="0" borderId="11" xfId="0" applyFont="1" applyBorder="1" applyAlignment="1">
      <alignment horizontal="center" wrapText="1"/>
    </xf>
    <xf numFmtId="0" fontId="17" fillId="0" borderId="0" xfId="0" applyFont="1" applyBorder="1" applyAlignment="1">
      <alignment horizontal="left"/>
    </xf>
    <xf numFmtId="0" fontId="24" fillId="10" borderId="12" xfId="0" applyFont="1" applyFill="1" applyBorder="1"/>
    <xf numFmtId="0" fontId="19" fillId="0" borderId="0" xfId="0" applyFont="1" applyBorder="1" applyAlignment="1">
      <alignment horizontal="center"/>
    </xf>
  </cellXfs>
  <cellStyles count="1">
    <cellStyle name="Normální" xfId="0" builtinId="0"/>
  </cellStyles>
  <dxfs count="18">
    <dxf>
      <fill>
        <patternFill patternType="solid">
          <fgColor rgb="FFB6D7A8"/>
          <bgColor rgb="FFB6D7A8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2">
    <tableStyle name="Google Sheets Pivot Table Style" table="0" count="12" xr9:uid="{00000000-0011-0000-FFFF-FFFF00000000}">
      <tableStyleElement type="wholeTable" dxfId="17"/>
      <tableStyleElement type="headerRow" dxfId="10"/>
      <tableStyleElement type="totalRow" dxfId="6"/>
      <tableStyleElement type="firstSubtotalRow" dxfId="9"/>
      <tableStyleElement type="secondSubtotalRow" dxfId="8"/>
      <tableStyleElement type="thirdSubtotalRow" dxfId="7"/>
      <tableStyleElement type="firstColumnSubheading" dxfId="13"/>
      <tableStyleElement type="secondColumnSubheading" dxfId="12"/>
      <tableStyleElement type="thirdColumnSubheading" dxfId="11"/>
      <tableStyleElement type="firstRowSubheading" dxfId="16"/>
      <tableStyleElement type="secondRowSubheading" dxfId="15"/>
      <tableStyleElement type="thirdRowSubheading" dxfId="14"/>
    </tableStyle>
    <tableStyle name="nasbíraná data-style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ilip Jarolím" refreshedDate="45692.777317476852" refreshedVersion="8" recordCount="999" xr:uid="{00000000-000A-0000-FFFF-FFFF02000000}">
  <cacheSource type="worksheet">
    <worksheetSource ref="A1:Q1000" sheet="nasbíraná data"/>
  </cacheSource>
  <cacheFields count="17">
    <cacheField name=" " numFmtId="0">
      <sharedItems containsNonDate="0" containsString="0" containsBlank="1"/>
    </cacheField>
    <cacheField name="Datum navštívení" numFmtId="164">
      <sharedItems containsNonDate="0" containsDate="1" containsString="0" containsBlank="1" minDate="2009-11-10T00:00:00" maxDate="2019-11-16T00:00:00" count="246">
        <d v="2009-11-10T00:00:00"/>
        <d v="2019-01-04T00:00:00"/>
        <d v="2019-01-06T00:00:00"/>
        <d v="2019-01-07T00:00:00"/>
        <d v="2019-01-11T00:00:00"/>
        <d v="2019-01-12T00:00:00"/>
        <d v="2019-01-13T00:00:00"/>
        <d v="2019-01-16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9T00:00:00"/>
        <d v="2019-03-10T00:00:00"/>
        <d v="2019-03-12T00:00:00"/>
        <d v="2019-03-15T00:00:00"/>
        <d v="2019-03-16T00:00:00"/>
        <d v="2019-03-17T00:00:00"/>
        <d v="2019-03-19T00:00:00"/>
        <d v="2019-03-20T00:00:00"/>
        <d v="2019-03-21T00:00:00"/>
        <d v="2019-03-22T00:00:00"/>
        <d v="2019-03-23T00:00:00"/>
        <d v="2019-03-24T00:00:00"/>
        <d v="2019-03-27T00:00:00"/>
        <d v="2019-03-28T00:00:00"/>
        <d v="2019-03-29T00:00:00"/>
        <d v="2019-03-30T00:00:00"/>
        <d v="2019-03-31T00:00:00"/>
        <d v="2019-04-03T00:00:00"/>
        <d v="2019-04-04T00:00:00"/>
        <d v="2019-04-05T00:00:00"/>
        <d v="2019-04-06T00:00:00"/>
        <d v="2019-04-07T00:00:00"/>
        <d v="2019-04-10T00:00:00"/>
        <d v="2019-04-13T00:00:00"/>
        <d v="2019-04-14T00:00:00"/>
        <d v="2019-04-15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30T00:00:00"/>
        <d v="2019-05-01T00:00:00"/>
        <d v="2019-05-02T00:00:00"/>
        <d v="2019-05-03T00:00:00"/>
        <d v="2019-05-04T00:00:00"/>
        <d v="2019-05-05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3T00:00:00"/>
        <d v="2019-05-25T00:00:00"/>
        <d v="2019-05-26T00:00:00"/>
        <d v="2019-05-27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2T00:00:00"/>
        <d v="2019-06-14T00:00:00"/>
        <d v="2019-06-15T00:00:00"/>
        <d v="2019-06-18T00:00:00"/>
        <d v="2019-06-20T00:00:00"/>
        <d v="2019-06-22T00:00:00"/>
        <d v="2019-06-23T00:00:00"/>
        <d v="2019-06-28T00:00:00"/>
        <d v="2019-06-29T00:00:00"/>
        <d v="2019-06-30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6T00:00:00"/>
        <d v="2019-07-17T00:00:00"/>
        <d v="2019-07-18T00:00:00"/>
        <d v="2019-07-19T00:00:00"/>
        <d v="2019-07-20T00:00:00"/>
        <d v="2019-07-21T00:00:00"/>
        <d v="2019-07-27T00:00:00"/>
        <d v="2019-07-28T00:00:00"/>
        <d v="2019-07-29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10T00:00:00"/>
        <d v="2019-09-12T00:00:00"/>
        <d v="2019-09-13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5T00:00:00"/>
        <d v="2019-09-26T00:00:00"/>
        <d v="2019-09-28T00:00:00"/>
        <d v="2019-09-29T00:00:00"/>
        <d v="2019-09-30T00:00:00"/>
        <d v="2019-10-01T00:00:00"/>
        <d v="2019-10-05T00:00:00"/>
        <d v="2019-10-06T00:00:00"/>
        <d v="2019-10-07T00:00:00"/>
        <d v="2019-10-08T00:00:00"/>
        <d v="2019-10-11T00:00:00"/>
        <d v="2019-10-12T00:00:00"/>
        <d v="2019-10-13T00:00:00"/>
        <d v="2019-10-14T00:00:00"/>
        <d v="2019-10-16T00:00:00"/>
        <d v="2019-10-18T00:00:00"/>
        <d v="2019-10-19T00:00:00"/>
        <d v="2019-10-20T00:00:00"/>
        <d v="2019-10-23T00:00:00"/>
        <d v="2019-10-24T00:00:00"/>
        <d v="2019-10-26T00:00:00"/>
        <d v="2019-10-27T00:00:00"/>
        <d v="2019-10-28T00:00:00"/>
        <d v="2019-10-29T00:00:00"/>
        <d v="2019-10-31T00:00:00"/>
        <d v="2019-11-01T00:00:00"/>
        <d v="2019-11-02T00:00:00"/>
        <d v="2019-11-03T00:00:00"/>
        <d v="2019-11-05T00:00:00"/>
        <d v="2019-11-08T00:00:00"/>
        <d v="2019-11-09T00:00:00"/>
        <d v="2019-11-10T00:00:00"/>
        <d v="2019-11-11T00:00:00"/>
        <d v="2019-11-13T00:00:00"/>
        <d v="2019-11-14T00:00:00"/>
        <d v="2019-11-15T00:00:00"/>
        <m/>
      </sharedItems>
    </cacheField>
    <cacheField name="Příjmení a jméno" numFmtId="0">
      <sharedItems containsBlank="1" count="53">
        <s v="Urabetzová Renata"/>
        <s v="Nedoma Radim"/>
        <s v="Vojtková Zuzana"/>
        <s v="Pletichová Wild.Lea"/>
        <s v="Šmerdovi"/>
        <s v="Kouřil Milan"/>
        <s v="Baláková Jana"/>
        <s v="Kroupová Aneta"/>
        <s v="Pečinková Ivana"/>
        <s v="Minolová Jana"/>
        <s v="Vrkoč Ivan"/>
        <s v="Štraitová Milada"/>
        <s v="Weiterovi"/>
        <s v="Míka Marek"/>
        <s v="Kalinová Jana"/>
        <s v="Bečvářová Martina"/>
        <s v="Libenská Katka"/>
        <s v="Novotná Tatiana"/>
        <s v="Kučerová Iveta"/>
        <s v="Lachmanová Fany"/>
        <s v="Pichová Alena"/>
        <s v="Nagyová Lenka"/>
        <s v="Šindelář Pavel"/>
        <s v="Pechanová Hana"/>
        <s v="Kremlová Daniela"/>
        <s v="Krhovják Tomáš"/>
        <s v="Hanč Jaroslav"/>
        <s v="Pastuchová Martina"/>
        <s v="Straka Richard"/>
        <s v="Chrenková Iveta"/>
        <s v="Ublová Marie"/>
        <s v="Rozdolská Dana "/>
        <s v="Laisková Monika"/>
        <s v="Netrvalová Pavla"/>
        <s v="Dobiášová Kateřina"/>
        <s v="Píšová Klára"/>
        <s v="Sýkorová Katka"/>
        <s v="Vaňourková Dana"/>
        <s v="Jareš Ondřej"/>
        <s v="Pačesová Lenka"/>
        <s v="Drahošová Michala"/>
        <s v="Novák Milan"/>
        <s v="Fivébrová Marta"/>
        <s v="Fialová Jana"/>
        <s v="Lukášovi"/>
        <s v="Majerko Tomáš"/>
        <s v="Holubová Alena"/>
        <s v="Poláková Radka"/>
        <s v="Vlasákovi E + P"/>
        <s v="Krejčiříková Zuzana"/>
        <s v="Novotná Jana"/>
        <s v="Hojná Zdenka"/>
        <m/>
      </sharedItems>
    </cacheField>
    <cacheField name="Volací jméno psa" numFmtId="0">
      <sharedItems containsBlank="1"/>
    </cacheField>
    <cacheField name="Body" numFmtId="0">
      <sharedItems containsSemiMixedTypes="0" containsString="0" containsNumber="1" containsInteger="1" minValue="0" maxValue="27"/>
    </cacheField>
    <cacheField name="NP" numFmtId="0">
      <sharedItems containsString="0" containsBlank="1" containsNumber="1" containsInteger="1" minValue="1" maxValue="2"/>
    </cacheField>
    <cacheField name="NPP" numFmtId="0">
      <sharedItems containsString="0" containsBlank="1" containsNumber="1" containsInteger="1" minValue="1" maxValue="7"/>
    </cacheField>
    <cacheField name="NPR" numFmtId="0">
      <sharedItems containsString="0" containsBlank="1" containsNumber="1" containsInteger="1" minValue="1" maxValue="4"/>
    </cacheField>
    <cacheField name="1000 m." numFmtId="0">
      <sharedItems containsString="0" containsBlank="1" containsNumber="1" containsInteger="1" minValue="1" maxValue="12"/>
    </cacheField>
    <cacheField name="Rozhledny" numFmtId="0">
      <sharedItems containsString="0" containsBlank="1" containsNumber="1" containsInteger="1" minValue="1" maxValue="13"/>
    </cacheField>
    <cacheField name="Soutoky" numFmtId="0">
      <sharedItems containsString="0" containsBlank="1" containsNumber="1" containsInteger="1" minValue="1" maxValue="8"/>
    </cacheField>
    <cacheField name="Prameny" numFmtId="0">
      <sharedItems containsString="0" containsBlank="1" containsNumber="1" containsInteger="1" minValue="1" maxValue="5"/>
    </cacheField>
    <cacheField name="Bájná hora Říp" numFmtId="0">
      <sharedItems containsString="0" containsBlank="1" containsNumber="1" containsInteger="1" minValue="1" maxValue="1"/>
    </cacheField>
    <cacheField name="Bájná hora Blaník" numFmtId="0">
      <sharedItems containsString="0" containsBlank="1" containsNumber="1" containsInteger="1" minValue="1" maxValue="1"/>
    </cacheField>
    <cacheField name="Navštívená místa_x000a_(červeně = psi nevítáni)" numFmtId="0">
      <sharedItems containsBlank="1" count="716">
        <s v="Babí lom"/>
        <s v="Velký Javorník"/>
        <s v="Smrk"/>
        <s v="NPP Panská skála"/>
        <s v="jeskyně Šipka, Trúba Štramberk"/>
        <s v="Rašeliniště Jizerky"/>
        <s v="NPP Kotýz + Zlatý kůň, NPR Koda"/>
        <s v="KRNAP, rozhledna Štěpánka"/>
        <s v="Kleť"/>
        <s v="Lysá hora"/>
        <s v="Vysoký vrch"/>
        <s v="NPP Pouzdřanská step-Kolby"/>
        <s v="rozhledna Vl. Menšíka, Kukla"/>
        <s v="Dyje+Trkmanka,Minaret,Pastvisko,Lednické rybníky,Kolonáda "/>
        <s v="Červený kopec,Pastvisko,Lednické rybníky,Minaret, Kolonáda"/>
        <s v="rozhledna Černá Studnice"/>
        <s v="Kleť "/>
        <s v="Blaník + rozhledna"/>
        <s v="Doubravka"/>
        <s v="Jurkovičova "/>
        <s v="Nisanka, Bramberk, pramen Nisy"/>
        <s v="Cibulka "/>
        <s v="NPR Velký a Malý Tisý, rozhledna Lomnice n.L."/>
        <s v="NPR Mazák, Lysá hora"/>
        <s v="Stropnice+Malše"/>
        <s v="soutok Malše a Vltavy"/>
        <s v="rozhledna Babka,  Želivka+Sázava"/>
        <s v="rozhledna Semenec, soutok Vltavy+Lužnice,Lužnice+Smutné"/>
        <s v="NPP U Nového mlýna+Dalejský profil+Požáry, rozhl. Cibulka"/>
        <s v="NPR Krumlovsko-rokytenské slepence"/>
        <s v="rozhledna Semenec, soutok Vltavy a Lužnice"/>
        <s v="rozhledna Špulka"/>
        <s v="rozhledna Krakovec"/>
        <s v="rozhledna Děd"/>
        <s v="Granátník"/>
        <s v="NPR Kralický Sněžník, Stezka v oblacích Dolní Morava"/>
        <s v="rozhledna Český Šternberk, soutok Blanice a Sázavy"/>
        <s v="rozhledna V Popelkách"/>
        <s v="hora Vysoká, rozhledna Kraví hora"/>
        <s v="rozhledna Veselov"/>
        <s v="NPR Řežabinské tůně, rozh. Řežabinec, Blanice a Otavy"/>
        <s v="soutok Vltavy a Labe, hora Říp"/>
        <s v="NPR Křivé jezero, rozhledny Dalibor a Maják"/>
        <s v="NPR Řežab. tůně, rozhl.Řežabinec, soutok Blanice a Otavy"/>
        <s v="Tichánkova věž-rozhledna Tábor, Allainova věž"/>
        <s v="Vysoký Kamýk"/>
        <s v="Akátová věž, soutok Svratky a Litavy"/>
        <s v="Hýlačka, Kotnov, Babina"/>
        <s v="Radegast"/>
        <s v="Kupa"/>
        <s v="NPP Červený kopec,  Brněnské výstaviště, Kamenný vrch"/>
        <s v="Brněnské výstaviště, Kamenný vrch"/>
        <s v="pramen Chrudimky"/>
        <s v="Na Skále"/>
        <s v="Brněnské výstaviště"/>
        <s v="Hustopeče"/>
        <s v="Sylván"/>
        <s v="Klucanina"/>
        <s v="Lhotka u Berouna. NPR Dalejský profil"/>
        <s v="Kabátnice, Okrouhlá"/>
        <s v="Bezručova vyhlídka"/>
        <s v="Špulka"/>
        <s v="Zlobice, Babí lom"/>
        <s v="NPR Vyšenské kopce, Žebříkový kámen, Granátník"/>
        <s v="soutok Lužnice a Vltavy, Semenec"/>
        <s v="Čermákův vrch, Choustník"/>
        <s v="Čermákův vrch"/>
        <s v="NPR Salajka,Vysoká, roz..Miloňová+Čartak,Vset.+ Rožn.Bečvy"/>
        <s v="Křížový vrch, soutok Merklínka a Radbuza"/>
        <s v="NPP Chýnovské jesk.,Svákov,Čermák.vrch,Choustník,Šelmberk"/>
        <s v="Novomlýnská věž, Astronomická věž, Mlíkárna, vysílač Žižkov"/>
        <s v="NPP Požáry"/>
        <s v="NPP Stránská skála, NPR Hadecká planinka, Komec"/>
        <s v="Říp"/>
        <s v="Petřín"/>
        <s v="Na Skalce,Rohanovský vrch,Libín,Helfenburk,Archeo Netolice"/>
        <s v="Cibulka"/>
        <s v="Réna"/>
        <s v="NPR Chejlava"/>
        <s v="NPR Kněhyně + Radhošť, rozhledna Stezka Valašska"/>
        <s v="Javorník, Královský kámen ,Kamenná h., Javorník, Mařský vrch"/>
        <s v="Tanečnice, stezka Valašska"/>
        <s v="Křížový vrch"/>
        <s v="Radhošť,Radegast+Z vrch.,Tanečnice+Z vrch.,Nořičí h.,Zmrzlý v."/>
        <s v="Čeřovka"/>
        <s v="Šelmberk, Kovářka"/>
        <s v="NPP Kukle, Nedánov"/>
        <s v="NPP Kukle,  rozhledny Nedánov a Hustopeče"/>
        <s v="Nová Ves"/>
        <s v="Kabátice"/>
        <s v="Požáry, Dalejský profil, U Nového mlýna"/>
        <s v="Javorový, Šindelná, Ropice"/>
        <s v="soutok Jihlavy a Svratky"/>
        <s v="Nový rybník"/>
        <s v="Milada, Langova (Onen svět), Kuníček, Veselý vrch, Drtinova rozhl."/>
        <s v="NPP Peklo"/>
        <s v="NPR Drbákov-Albertovy skály, Mandava,Neštětická h., Ládví-Vlková"/>
        <s v="NPP Kalendář věků, NPR Děvín-Kotel-Soutěska"/>
        <s v="Orlík"/>
        <s v="NPP Barrandovské skály, Lahovický most, Berounka+Vltava"/>
        <s v="NPR Kněhyně-Čertův mlýn, M.+V. Stolová, Kněhyně, Čertův mlýn"/>
        <s v="Tanečnice, Zmrzlý vrch, Nořičí hora, stezka Valašska"/>
        <s v="NPR Karlštejn"/>
        <s v="Prašivá"/>
        <s v="Jurkovičova rozhledna"/>
        <s v="NPP Karlštejn"/>
        <s v="Radyně"/>
        <s v="soutok Odry a Olše"/>
        <s v="soutok Mže a Radbuzy, pramen Berounky"/>
        <s v="Landek ,Hošťálkovice,Odra+Lubina+Ostravice+Ondřejnice"/>
        <s v="NPP Landek, NPR Polanská niva"/>
        <s v="NPP Rovná, Čestice, Hoslovice, Kbíl, Strakonice, Otava+Volyňka"/>
        <s v="Císařský kámen"/>
        <s v="NPP Skalická Morávka, soutok Ostravice a Morávky"/>
        <s v="NPR Zástudánčí, Žebračka, soutok Moravy a Blaty"/>
        <s v="NPP Šipka, Štramberská trúba, Bílá hora, Bezručova vyhlídka"/>
        <s v="NP Podyjí"/>
        <s v="Velký Kamýk,Vltava + Otava, Otava + Lomnice, Lomnice + Skalice"/>
        <s v="Okrouhlá"/>
        <s v="NPP Kaňk, Havířská bouda, Bedřichova vyhlídka"/>
        <s v="pramen Želivky"/>
        <s v="soutok Jizery a Olešky"/>
        <s v="NPP Rybníček u Hořan, Vysoká"/>
        <s v="NPP Zbrašov. jeskyně,NPR Hůrka,St.Jičín, Vsetín.+Rožnov. Bečva"/>
        <s v="Kovářka, Blaník rozhledna + hora"/>
        <s v="Krkavec"/>
        <s v="NPP Landek,rozhl.  Landek,  soutok Ostravice a  Odra"/>
        <s v="Křemešní - Pípalka"/>
        <s v="NPR Libický luh, Vodárna, Maják, Labe+Cidlina"/>
        <s v="Neštětická hora"/>
        <s v=" NPP Lochkovický profil, Cikánka I, Černé rokle"/>
        <s v="Orlík "/>
        <s v="Bramberk, Královka, Nisanka, Slovanka,Černá studnice"/>
        <s v="Liberec.výšina, Lidové sady, Rašliniště Jizerky, Nisa,Bukovec"/>
        <s v="Čerchovské hvozdy,Čerchov,Skalka,rozh.Čerchov,Šibeniční vrch"/>
        <s v="soutok Vltavy a Rokytky"/>
        <s v="soutok Vsetínské a Rožnovské Bečvy"/>
        <s v="pramen Nisy"/>
        <s v="Maruška"/>
        <s v="Lužnice+Černovický p.+Kozský p.+Dírensky p.Blanice,Trnava"/>
        <s v="NPP Jankovský potok. "/>
        <s v="Žižkovský vysílač, Mlíkárna v Riegrových sadech"/>
        <s v="NPP Žehuňský rybník,Dlouhopolsko, NPR Kněžičky,Polní Chrčice"/>
        <s v="Hrad dona Quijota"/>
        <s v="Pepř, soutok Vltavy a Sázavy"/>
        <s v="Kamzík, Hamelika, pramen Teplé"/>
        <s v="Maják, soutok Labe a Doubravy, Labe a Klejnárky"/>
        <s v="Chlum, soutok Berounky a Úslavy, Mže a Radbuzy"/>
        <s v="Heřmanova huť, Nový rybník, soutomk Úhlávky a Mže"/>
        <s v="Slabošovka, soutok Malše a Černé"/>
        <s v="NPP Kaňk, U nových mlýnů, Havířská bouda, Kratochvílova rozhl., Říp"/>
        <s v="soutok Ostravice a Morávky"/>
        <s v=" Český Šternberk, Špulka"/>
        <s v="NPR Lednické rybníky, Minaret"/>
        <s v="NPP Letiště Letňany, Novomlýnská vodárenská věž, Astronomická věž Klementinum "/>
        <s v="NPP Velký Roudný, Velký Roudný, soutok Moravy a Bystřice"/>
        <s v="NPR Velký Špičák"/>
        <s v="NPR Broumovské stěny"/>
        <s v="soutok Vltavy a Bezdrevského p."/>
        <s v="Na Vrších, soutok Berounky a Klabavy"/>
        <s v="NPR Hádecká planinka"/>
        <s v="Sylván, soutok Radbuza a  Mže, Úhlava a Radbuza"/>
        <s v="NPR Větrušické rokle"/>
        <s v="NPP Vizír,NPR Stará a Nová řeka,soutok:.Lužnice+Koštěnický p.,Dračice, pramen Nová řeka,Zlatá stoka"/>
        <s v="Malá Stolová, Velká Stolová, Folvark, Kněhyně, Čertův mlýn, Magurka"/>
        <s v="Krkavec, Sylván"/>
        <s v="Žebříkový kámen"/>
        <s v="Kamenný vrch"/>
        <s v="Ostrava-Nová radnice, Bolt Tower, soutok Lučiny a Ostravice"/>
        <s v="Travný"/>
        <s v="NPR Libický luh, soutok Labe a Cidliny"/>
        <s v="NPP Medník"/>
        <s v="Žirovnice"/>
        <s v="NPP Americká zahrada, Klatovská hůra, sv.Markéty,Bolfánek"/>
        <s v="NPP Semínský přesyp, NPR Bohdanečský rybník, Kladruby n.L."/>
        <s v="NPR Čertova stěna, Vítkův kámen + rozhledna, Velký Plešný,Medvědí vrch"/>
        <s v="NP Krkonoše, Černá hora + rozhledna, Stezka korunami stromů Janské Lázně"/>
        <s v="NPP Čertova zeď, pramen Ploučnice"/>
        <s v="Božka, Kanihůra - Bílov, soutok Moravy a Bystřice, pramen Odry"/>
        <s v="NPP Rudické propadání"/>
        <s v="NPR Libický luh, Milíř, Labe a Orlice, Labe a Cidlina"/>
        <s v="KRNAP, Sněžka, Hnědý vrch"/>
        <s v="soutok Želivky a Trnavy"/>
        <s v="soutok Úhlávky a Mže, Heřmanova Huť"/>
        <s v="Šance, Bezručova vyhlídka,  Olšová v Pohoří. Slatina, Veselská rozhledna"/>
        <s v="Svatobor"/>
        <s v="NP České Švýcarsko"/>
        <s v="NPP Polické stěny"/>
        <s v="NPR Novozámecký rybník"/>
        <s v="Ropice"/>
        <s v="NPP Kozákov + rozhledna, Trosky"/>
        <s v="Kamenice"/>
        <s v="Věž samostatnosti, Hořický Chlum"/>
        <s v="Památník Vojna, Důlní věž Řimbaba, pramen Kocáby"/>
        <s v="Pepř"/>
        <s v="Kostelní Hlavno,Mandava,Konopišťský p.+Sázava,Labe+Jizera,pramen:Konopišťský p.,Chotýšanka,Botič,Rokytka"/>
        <s v="Kraví hora"/>
        <s v="NPR Drbákov-Albertovy skály"/>
        <s v="soutok Moravy a Bečvy"/>
        <s v="Malý Smrk, Smrk"/>
        <s v="Na Signálu, Dobrošov"/>
        <s v="Vltava+Křemežský p., Vltava +Polečnice,pramen Bezdrevského p."/>
        <s v="Starý Jičín"/>
        <s v="soutok Úhlavy a Radbuzy"/>
        <s v="soutok Křemžského potoka a Vltavy"/>
        <s v="Vinice"/>
        <s v="Čáp, pramen Metuje"/>
        <s v="NPP Pouzdřanská step, soutok Jihlavy a Svratky"/>
        <s v="Nová radnice, Hladnov, Bolt Tower, soutok Ostravice a Lučiny"/>
        <s v="Háčkovaná, Sedlo u Albrechtic"/>
        <s v="Maják, Vodárenská věž"/>
        <s v="pramen Bezdrevského potoka"/>
        <s v="NPP Cikánka, Lochkovský profil, Černé rokle, Barrandovské skály, Barrandovské terasy"/>
        <s v="NPP Kańk, Kaňk"/>
        <s v="NPP Hojkovské rašeliniště"/>
        <s v="NPP Stročov,Doubravka, Jenštejn,Žižkovský vysílač,Vltava+Rokytka+Botič,pramen Mastníku"/>
        <s v="Český Šternberk, soutok Blanice a Sázavy"/>
        <s v="NP Šumava, Rabí "/>
        <s v="pramen Jihlavy"/>
        <s v="Fajtuv kopec, soutok Balinky a Oslavy"/>
        <s v="Bohumín, soutok Odry a Olše"/>
        <s v="Orlík u Humpolce"/>
        <s v="pramen Křemežského potoka"/>
        <s v="Rumburak, soutok Dyje a Želetavky"/>
        <s v="Jenštejn"/>
        <s v="Klinovec + rozhl., NPR Božidarské rašelinište, Božídarský Špičák, Nad Rýžovou, Plešivec"/>
        <s v="NPP Chýnovské jeskyně, pramen Trnavy, Blanice"/>
        <s v="Ruprechtický Špičák"/>
        <s v="Kumburk"/>
        <s v="NPP Kleneč, Kratochvílova rozhl., Říp"/>
        <s v="Blatenský vrch + rozhl., NPR Rolavske vrchoviště, Olověný vrch"/>
        <s v="NPP Jeskyně Pekárna,"/>
        <s v="NPR Adršpašsko-teplické skály, Čáp"/>
        <s v="Černá hora - + NPP + rozhledna"/>
        <s v="Zámek Nové Město nad Metují, Náchodský zámek"/>
        <s v="NPP Bozkovské dolomitové jeskyně"/>
        <s v="NPR Broumovské stěny, NPP  Polické stěny"/>
        <s v="NPP Vrkoč, Malé sedlo, hrad Střekov, Větruše, soutok Labe a Bílina"/>
        <s v="Meluzína"/>
        <s v="NPP Ruda, soutok Lužnice a Nežárka a Zlatá stoka"/>
        <s v="soutok Morava a Bystřice a Desná"/>
        <s v="Javorový, Šindelná"/>
        <s v="Erbenova vyhlídka"/>
        <s v="Kelčský Javorník"/>
        <s v="NPP Babiččino údolí, Žernov, Rtyně v Podkrkonoší"/>
        <s v="NPP Stránská skála, NPR Zhejral, Kamenný vrch"/>
        <s v="Goethova vyhlídka"/>
        <s v="NPR Salajka, Vysoká, Súkenická, pramen Vsetínské a Rožnovské Bečvy"/>
        <s v="NPR Oblík, NPP Kamenná slunce, Stradonka, Stříbrník, soutok Kosový potok a Mže"/>
        <s v="soutok Vltavy a Křemžského potoka"/>
        <s v="NPR Hůrka u Hranic, Maruška, Hostýn, Kelčský Javorník"/>
        <s v="Kelčský Javorník, Maruška"/>
        <s v="NPP Bílé stráně, NPR Lovoš + rozhledna, Mostka, soutok Labe a Ohře"/>
        <s v="Tetřeví hora"/>
        <s v="Macecha"/>
        <s v="Lahovický most"/>
        <s v="Okrouhlá, Kabátice"/>
        <s v="Hartenstejn, Kožová hora"/>
        <s v="soutok Ploučnice a Robečského potoka"/>
        <s v="Varhošť"/>
        <s v="Štěpánka, U borovice"/>
        <s v="NPP Babbiččino údolí"/>
        <s v="Šacberk"/>
        <s v="Bukovanský mlýn"/>
        <s v="soutok Malše a Stropnice"/>
        <s v="Kratochvílova rozhl., Říp, soutok Labe a Vltavy"/>
        <s v="Ještěd + rozhledna"/>
        <s v="Milešovka + rozhl., Lovoš + rozhl."/>
        <s v="NPR Karlovské bučiny, Hlavatice"/>
        <s v="NPP Na Skále,Růžičkův lom,Kosířské lomy,Za Hrnčířkou,Hrdibořické rybniky,Velký Kosíř,Čechy pod Kosířem,Desná"/>
        <s v="Křivoš"/>
        <s v="Maják Járy Cimrmana, soutok Mumlavy a Jizery"/>
        <s v="NPR Voděradské bučiny, Skalka"/>
        <s v="Hrb,Světlá hora,Bukovec,Kamenná,Nad Pasekou,Volyňka+Peklov+Spůlka,pramen Peklov,Volyňka"/>
        <s v="NPP Chropyňský rybník,NPR Zástudánčí,Žebračka,Brodek, soutok Moravy +Bečvy + Romže"/>
        <s v="Dubecko"/>
        <s v="NPP Adršpašsko-teplické skály, Lenka"/>
        <s v="soutok Labe a Doubravy"/>
        <s v="Kamenec, Myslivna, soutok Černé + Pohořského potoka, pramen Lužnice, Pohořského potoka"/>
        <s v="NPP Šipka, Štramberská trúba, Bílá hora"/>
        <s v="Bílá hora"/>
        <s v="Brdo, Salaš, Modrá"/>
        <s v="NP Šumava, Vítkův kámen + rozhledna "/>
        <s v="Olšová-Pohoř"/>
        <s v="Milíře, pramen Úhlávky"/>
        <s v="Výhon, soutok Svitavy a Litavy"/>
        <s v="NPR Býčí skála, Alexandrova vyhlídka"/>
        <s v="NPP Razula, pramen Lubiny, Jičínky"/>
        <s v="NPP Drbákov - Albertovy skály, Kotel, Studený vrch"/>
        <s v="NPP Terčino údolí, NPR Žofinka"/>
        <s v="NPR Rejvíz, Zlatý Chlum, Sosnová, Strážiště(H. Kudlicha)"/>
        <s v="NPP  Chýnovské jeskyně, pramen Blanice, Trnavy"/>
        <s v="NPP Dalejský profil, Požáry, U Nového mlýna"/>
        <s v="Háčkovaná, soutok Radbúzy a Úhlavy"/>
        <s v="soutok Blanice a Chotýšanky"/>
        <s v="Kopanina, Frýdštejn"/>
        <s v="Kotnov, Hýlačka, Babina"/>
        <s v="NP Šumava, NPR Boubínský prales, Boubín + rozhledna"/>
        <s v="NPP Ruda, NPR Vyšenské kopce"/>
        <s v="Stradonka"/>
        <s v="Bratřice"/>
        <s v="Velký Javorník, Jurkovičova, pramen Jičínky"/>
        <s v="NPP Park v Bílé Lhotě a Třesín"/>
        <s v="NPR Kněhyně-Čertův mlýn,Radhošť,Malá Stolová, Kněhyně,Čertův mlýn,Radegast,Radhošť,Tanečnice Z,Tanečnice"/>
        <s v="Klínovec + rozhledna, Meluzína, Macecha"/>
        <s v="NPP Zbrašovské aragonit.jeskyně, NPR Hůrka u Hr."/>
        <s v="NPR Vůznice"/>
        <s v="soutok Sázavy a Konopišťského potoka"/>
        <s v="Ropice, Smrčina, Slavíč"/>
        <s v="NPP Rašovické skály, NPR Úhošť"/>
        <s v="NPP Swamp a Jestřebické slatiny, NPR Břehyně a Velký a Malý Bezděz, Bezděz rozhl."/>
        <s v="NPP Semínský přesyp, Bára II, Kladruby n.L."/>
        <s v="Hostýn"/>
        <s v="NPP Šipka, Štramberská trúba"/>
        <s v="NPP Klokočka, Rečkov, Peklo, NPR Novozámecký rybník"/>
        <s v="NP Krkonoše, Černá hora + rozhledna, Kleť + rozhledna"/>
        <s v="NP Krkonoše, Černá hora + rozhledna,Stezka korunami stromů,Zlatá vyhlídka,Čížovka"/>
        <s v="Kostelí Hlavno, Dneboh"/>
        <s v="NPR Rašeliniště Jizerky, Bukovec"/>
        <s v="NPP Kalendář věků,NPR  Děvín-Kotel,Křivé jezero,Tabulová, Kozí hrádek"/>
        <s v="Kratochvílova rozhl."/>
        <s v="Černý vrch"/>
        <s v="NPP Babiččino údolí, NPR Adršpašsko-teplické skály, Žernov,Eliška"/>
        <s v="Bohdanka"/>
        <s v="NPP Pastvinsko,Rendez-Vous,NPR Lednické rybníky, Slanisko u Nesytu, soutok Dyje a Trkmanky"/>
        <s v="NPP Bílé stráně, Na Kožichu, Mostka, soutok Labe a Ohře"/>
        <s v="KRNAP, Štěpánka, Maják Járy Cimrmana,soutok Jizery a Mumlavy"/>
        <s v="NP Šumava"/>
        <s v="soutok Ploučnice a Panenského potoka"/>
        <s v="Lednicje - Kolonáda, Minare, Český Šternberk, soutok Blanice a Sázavy"/>
        <s v="NPR Karlštejn, Vůznice, Děd, Městská hora, soutok Berounky a Litavky+Loděnice+Vůznice"/>
        <s v="pramen Ostravice, Morávky"/>
        <s v="Knížecí stolec + rozhl., Skalky, Uhlíkovský kopec, Suchá hora"/>
        <s v="Kožích"/>
        <s v="Kozlovský kopec, Andrlův chlum, Mariánka, Lanšperk, Lázek"/>
        <s v="NPP Holý vrch"/>
        <s v="Na Kneipě, Na Čihladle, Smědá"/>
        <s v="NPR Jizerské bukoviny, soutok Smědá a Velký Štolpich, Smědá a Lomnice"/>
        <s v="Heřmanice"/>
        <s v="Vodárna, Maják, soutok Loučné a Labe"/>
        <s v="NPP Křížky a ´Úpolínová louka, Heřmanova huť, Třask, Krásenský vrch, soutok Teplé a Pramenského potoka"/>
        <s v="NPP Praděd + vrchol + rozhledna, NPP Javorový vrch, Vysoká hole,pramen Moravice, Opavy"/>
        <s v="NPP Dalejský profil, Požáry, U Nového mlýna, Cibulka"/>
        <s v="Na Skále, Šťastná věž"/>
        <s v="NPR Rašeliniště Skřítek,Mravenečník,Dlouhé stráně,Vřesník,Velká jezera,Homole,Čepel,U Tetřeví chaty,Bukovka,Ježník(Vyhlídka), Cvilín,Strážiště (Hanse Kudlicha), soutok Opavy a Moravice"/>
        <s v="NPP Dalejský profil"/>
        <s v="NPP Rudické propadání, NPR Vývěry Punkvy, Kopaninka"/>
        <s v="Ploučnická vyhlídka"/>
        <s v="NPP Holý vrch, soutok Labe a Vltavy"/>
        <s v="NP Šumava,Ždánov,Valy,Popelná,Churáňovský vrch,Homole,Výška,Přilba,Kašperk,Churáňov,Svatobor,Rabí,Sedlo u Sušice,soutok Otavy a Losenice a Ostružné,pramen:Spůlka,Losenice,Klabava,Skalice,Úslava"/>
        <s v="Kleť + rozhledna, DDM Modřany,Lahovické věže, soutok Vltavy a Berounky"/>
        <s v="Suchý vrch, Anenský vrch"/>
        <s v="Suchý vrch"/>
        <s v="NP Šumava, NPR Černé a Čertovo jezero, Bílá strž, Velký Ostrý, Velký Kokrháč, Svaroh"/>
        <s v="NP Krkonoše,Lysá hora, Harrachovy kameny, Violík, Čertova hora, Janova skála, rozhl.Járy Cimrmana, Štěpánka,Tanvaldský Špičák soutok Mumlavy a Jizery, Desné a Kamenice, pramen Labe"/>
        <s v="Děd, Městská hora, soutok Litavky a Berounky"/>
        <s v="NP Šumava, NPP Prameniště Blanice, Blanice, Křemenná, Doupná hora, Na Skále,Na skalce, Rohanovský vrch, Větrný, pramen Zlatého potoka"/>
        <s v="NPP Kalendář věků, Pastvisko, Stránská skála, Dalibor - Zaječí, soutok Dyje - Trkmanka"/>
        <s v="NPR Čantoria + rozhledna"/>
        <s v="NPP Olšina, Jezerní vyhlídka, Stezka korunami stromů, Hvězda, Vlčí kámen, Špičák, Nad Hospodářnicí"/>
        <s v="Hraniční vrch, Ježník, Strážnice u Liptaně, pramen Osoblahy"/>
        <s v="Háčkovaná"/>
        <s v="U Kunštácké kaple,Tetřevec,Homole, Koruna, Jelenka, Velká Deštná, Malá Deštná"/>
        <s v="U Kunštácké kaple,Tetřevec,Homole, Malá Deštná"/>
        <s v="NPR Bukačka, Šerlich, Vrchmezí, pramen Bělé, Pastýřka"/>
        <s v="NPR Bukačka, Šerlich, Vrchmezí, pramen Bělé"/>
        <s v="Andrlův chlum Varta, Litice n.Orl., Rozálka, Skuhrov, Kastel Vrbice, Na Signálu, Náchod, Rtyně, Nové Město nad Metují, Dobrošov, Žernov"/>
        <s v="NPP Kaňkovy hory, NPR Lichnice, rozhl. Milada"/>
        <s v="Bramberk"/>
        <s v="Blaník + rozhledna, soutok Blanice a Sázavy"/>
        <s v="Koráb, Rýzmberk, Vachatova věž"/>
        <s v="NPP Koda"/>
        <s v="Chlum, soutok Úslavy a Berounky"/>
        <s v="NPR Žákova hora, pramen Svratky"/>
        <s v="NPP Odlezelské jezero, Vysoká, Bohušův vrch, Chlum, soutok Berounky a Úslavy"/>
        <s v="Búřov, pramen Lubiny"/>
        <s v="Petřín - Jablonec, Slovanka, Královka, Tanvaldský Špičák, soutok Černé Desné a Kamenice a Bílé Desné"/>
        <s v="NPR ˇČervené Blato, NPR Brouskův mlýn, Archeopark Netolice"/>
        <s v="NPP Landek,  + rozhledna, soutok Odry a Ostravice"/>
        <s v="NPP Mohelenská hadcová step, Babylon, Těžní věž Kukla"/>
        <s v="Malý Špičák, Špičák,Habr,Můstek,Jedclová,Pancíř,Špičák, Pančíř, pramen Úhlavy, Křemelné"/>
        <s v="soutok Lubiny a Lomné"/>
        <s v="NPP Upolínová louka, NPR Tři křížky,Pluhův bor, Třasák,Krásenský vrch, pramen Střely"/>
        <s v="hrad Lipnice, soutok Želivky a Trnávky"/>
        <s v="rozhl.Vl.Menšíka, Alfonse Muchy, soutok Jihlavy a Oslavy, a Rokytné"/>
        <s v="NPR Brouskův mlýn,Kupa, Radětice,soutok Lužnice a Židovy strouhy,Nežárky a Nové řeky,pramen Smutné, Kamenice , Židovy strouhy"/>
        <s v="NPP Letiště Letňany"/>
        <s v="NPR Stará a Nová řeka"/>
        <s v="Malý Javorník"/>
        <s v="Na Stráži"/>
        <s v="KRNAP, NPR Rašeliniště Jizerky,Bukovec, Jizera, Štěpánka, Maják Járy Cimrmana,soutok Jizery a Mumlavy"/>
        <s v="NPP Barrandovské skály,Žižkovský vysílač, Mlíkárna, Barrandovské terasy,Petřín, Novomlýnská vodárenská věž, Astronomická věž Klementinum, Lahovický most, Komín, sutok Berouny a Vltavy"/>
        <s v="NPP Vosek, Kotel"/>
        <s v="NPP Hojkovské rašeliniště, NPP Luční,  NPR Velký Špičák, Křemešník, Rýdlův kopec, Hradní věž - JH, Oslednice, soutok Kamenice a žirovnice,Nežárka a Hamerský p., pramen Nežárka, Černovický p., Hamerský p. Jihlava, Moravské Dyje"/>
        <s v="NPP Olšina, Kapradinec - J vrchol, Nad hospodárnicí, Špičák"/>
        <s v="NPR Polánecká niva, Ve věží"/>
        <s v="NPR Čantoria + rozhledna , Soběšovice"/>
        <s v="soutok Labe a Jizery"/>
        <s v="Tok, Zámecký les, Sklářský vrch, Polom, Prenet, Malý Prenet, Švihov, Klenová,"/>
        <s v="NPP Medník, Pepř, soutok Vltavy a Sázavy"/>
        <s v="Heřmanova huť, soutok Uhlávky a Mže"/>
        <s v="Na Chlumu, Bára II"/>
        <s v="NP Šumava,Podyjí,NPR Tabulová, Kozí Hrádek-Mikulov, U Křížku, Jezerní slať, Soumarské rašeliniště, Kašperk, Stezka korunami stromů,Vojtěchov, "/>
        <s v="NPP Žehuňský rybník, Polní Chrčice, Bedřichova vyhlídka, Bára II"/>
        <s v="Semenec, soutok Lužnice a Vltavy"/>
        <s v="NPP prameniště Blanice, Větrný, Doupná hora, Na Skále, Křemenná, Chanovice"/>
        <s v="Javorník, Královský Kámen,Sv. Jan, Ždánov, Klostrmanova r.,Svatobor,Kašperk, souto Ostružné a Otavy"/>
        <s v="Máminka,Říp"/>
        <s v="Ostrý, Kozubová"/>
        <s v="NPP Babiččino údolí, Zvičina"/>
        <s v="NPR Žofínský prales,Hradišťský vrch,pramen Černé"/>
        <s v="Lázek, Milář, Rozárka, soutok Moravské Sázavy a Březné, a Moravy,Orlice a Labe,pramen Opatovického kanálu"/>
        <s v="NPP Blanice, Libín,Na Skalce, Rohanovský vrch, Soumarský most, Libín, pramen Zlatého potoka"/>
        <s v="NPP Bukačka, Šerlich, Polomský kopec, Vrchmezí, Pod Sedloňovým vrchem, Malá Deštná, Velká Deštná, Jelenka, Koruna, Homole, Tetřevec, U Kumštácké kaple, Anenský vrch, Tyršova rozhl., prameniště Bělé"/>
        <s v="NPP Konk, Zlatý kůň, NPR Koda, Kotýz"/>
        <s v="NPP Hadce u Želivky, Babka, soutok Sázavy a Želivky"/>
        <s v="soutok Klejnárky a Vrchlice, Orlice a Třebovky, Andrlův Chlum"/>
        <s v="Břasy, Líně, soutok Berounky a Třemošné a Střely"/>
        <s v="Obrovec, Kamenná, Bukovec, Světlá hora, Mařský vrch, Čestice, Kbíl, Hoslovice, soutok Volyňka a Otava a Spůlky, pramen Volyňky"/>
        <s v="NPP Skalická Morávka, Landek, NPR Radhošť,Kněhyně, Mazák, Radhošť, Radegast Z vrchol, Radegast, Tanečnice Z vrchol, Tanečnice, Nořičí hora, Čertův mlýn, Malá Stolová, Vysoká, Lysá,Jurkovičova, Stezka Valašska,Velký Javorník, Čarták,Malá Prašivá, Landek, Č"/>
        <s v="NPP Chýnovské jeskyně, Pípalka, Hošťálkovice"/>
        <s v="NPP Velký Roudný, Hanse Kudlicha, Cvilín, Velký Roudný"/>
        <s v="NPP Skalky skřítků, Hubertky, Pajndl, Bučina,Boží vyhlídka,Cibulka, Hard, soutok Ohře a Svatavy"/>
        <s v="NPR Rašeliniště Jizerky, Tanvaldský Špičák,Petříkn,  soutok Kamenice a Černé Desné, pramen Nisy"/>
        <s v="soutok Merklínky a Radbuzy"/>
        <s v="Dub, Vysoká Seč, Hasištejn, Málkov"/>
        <s v="Vochlice, Krásný dvůr, Shillerova rozhl., Tobiášův vrch"/>
        <s v="NPR Božídarské rašeliniště, Blatenský vrch, Božídarský Špičák, Blatenský vrch, Boží vyhlídka"/>
        <s v="Borůvka"/>
        <s v="Macecha, Meluzína, Klínovec + rozhl., Plešivec + rozhl."/>
        <s v="NPP Křížky a ´Úpolínová louka, Třasák, Vochlícká rozhld., Machova hora"/>
        <s v="NPKrkonoše, Luční hora"/>
        <s v="Goethova vyhl., Vyhl. Karla IV., Diana, soutok Ohře a Teplé"/>
        <s v="NPP Hojná Voda, Vysoká, Kamenec, Hradišťský vrch, soutok Černé a Pohořskeho p., pramen Pohořského p."/>
        <s v="Jablonnév Podještédi"/>
        <s v="NPP Terčino údolí"/>
        <s v="NPP Cikánský dolík, Bilíchovské údolí, NPR Malý a Velký Štít, Pochvalovská stráň, Kolowratská věž, Babka, soutok Zelivky a Sázavy"/>
        <s v="NPP Žákova hora, Jahůdka, Terezka, Toulovcova vyhl., pramen: Chrudimky, Krouny, Svratky"/>
        <s v="NPR Lednické rybníky"/>
        <s v="U obrázku, Slunečná, Kraví hora, Stezka nad vonohrady"/>
        <s v="NP Podyjí, NPR Krumlovsko-rokytenské slepence, Rumburak, Vl. Menšíka, Réna, soutok Jihlavy a Oslava a Rokytné"/>
        <s v="NPP Křže, Úpolínová louka, NPR Kladské rašeliny, Pluhův bor, Třasák, Bohušův vrch, Hamelika, Kamzík, Krásno, pramen Střely"/>
        <s v="NPR Albertov, Jarník, Kuníček, Onen svět, Milada, Vrškamýk, Drahoušek, soutok Vltavy a Mastníku"/>
        <s v="NPP Svatošské skály, Diana, Loket, Karlova , Doubská, Goethova, soutok Ohře a Rolavy a Teplé"/>
        <s v="soutok Jizery a Kamenice"/>
        <s v="NPR Adršoašsko-Teplické skály, Šibeník"/>
        <s v="Kožich, Šťastná věž, Na skále, Rožmitál, Řimbaba, Vojta, pramen: Lamnice, Litavyka, Kocába"/>
        <s v="NPP Kotýz, Zlatý kůň, Klonk, Třenická hora, Žebrák, soutok Červený potok a Litavka"/>
        <s v="NPP Komorní hůrka, Bublák, NPR SOOS, Zámeček, Zelená hora, Chlum sv. Máří, Pánský vrch, Salinburg, Vávrova lávka"/>
        <s v="NPP Radouč, NPR Černé a Čertovo jezero, Špičák + rozhl., Pancíř, Můstek, Velký Prenet, Michalovice, Slabošovka, Hradišťský vrch"/>
        <s v="Žižkovská věž, Mlíkárna, Petřín"/>
        <s v="NPR Chlumská stráň, Kohoutov, Týrov, Žebrák, Třenická hora, soutok Berounky a Klabavy"/>
        <s v="NP Šumava, Javorník + rozhledna, Zadov, soutok Vltavy a Otavy"/>
        <s v="NPR Velká Niva,Homole, Výška, Chrýáňovský vrch, Kamenná, Bukove Světlá hora, Obrove, Obrove JV vrchol, Churáňov, pramen Spůlky, Volyňky"/>
        <s v="NPP Vosek, Šťasná věž, Na Kotli, Milíře, Březinka.Šibeniční vrch, Křížový vrch, soutok Radbůzy a Zubřiny, "/>
        <s v="soutok Sázavy a Svratky"/>
        <s v="Dobronice, Radětice, soutok Lužnice a Smutné a Židovy strouhy"/>
        <s v="Bumbálka"/>
        <s v="NPR Drbákov, Veselý vrch, Drtinova rozhledna"/>
        <s v="Neštětická hora, Veselský vrch, Drtinova rozhl., Pepř, soutok Vlatvy a Kocáby"/>
        <s v="Loučná, Hradišť, Nisa, Černá Studnice, pramen Nisy, soutok Kamenice a Černé Desné"/>
        <s v="Terezka"/>
        <s v="NPP Randez vous, NPR Lednické rybníky, Minaret, Mikulčice, Lednická kolonáda"/>
        <s v="Kaňk, Semtěs, Na Kopečku, Milada"/>
        <s v="Komec, soutok Svratka a Bobrava a Svitava, "/>
        <s v="soutok Svratka a Bobrava a Svitava"/>
        <s v="Radost, Vachatovo rozhledna, Koráb, Rýzmberk, Markéta, soutok Klabavy a Berounky"/>
        <s v="Terezka, pramen Novohradky"/>
        <s v="NPP Komorní hůrka, Bublák, NPR SOOS, Zámeček, Salingburg, Černá věž, Vávrova lávka. Bismarcova"/>
        <s v="Královský kámen, Semenec, soutok Vltavy a Lužnice"/>
        <s v="NPR Radhošť, Radhošť, Radegast, + Z, Tanečnice + Z, Zmrzlý vrch, Nořičí hora, Stezka Valašska"/>
        <s v="NPR Velká niva, Boubín, Soumarský most, Boubín + rozhl.,Radvanovický hřbet, Kupa, Chlustov,soutok Vltavy a Řasnice,"/>
        <s v="NPP Žofinka"/>
        <s v="NPP Terčino údolí, Hojná Voda, NPR Červené Blato, Vysoká, Rydlův kopec, Kraví hora, soutok Kamenice a Žirovnice, pramen Stropnice"/>
        <s v="NPR Kněhyně - Čertův mlýn, Malá Stolová, Velká Stolová, Folverk, Čertův Mlýn, Kněhyně"/>
        <s v="NP Šumava, Poledník + rozhledna"/>
        <s v="NPR Mionší, Velký Polom, Burkův vrch, Malý Polom, Nad Kršlí, Čuboňov, Tettřev"/>
        <s v="NPR Salajka, Vysoká, Miloňová , Čartak, pramen Vsetínské Bečvy, Rožnovské Bečvy"/>
        <s v="Černá hora, pramen Vltavy, Vydry"/>
        <s v="NPP Velký Roudný, + rozhl., Slamník, Podbělka, Sušina, Černá kupa, Stříbrnická, Kralický Sněžník, Malý Sněžník, Hleďsebe,Burkův vrch, Klepáč + rozhl., pramen Moravy"/>
        <s v="Stará radnice"/>
        <s v="Kosice, Chlum u HK, soutok Labe a Orlice, Cidliny a Bystřice"/>
        <s v="NPP Borečský vrch, NPR Milešovka + rozhledna, U zámečku"/>
        <s v="NP Šumava, NPP Luční, Libín + rozhledna, Plechý"/>
        <s v="NPR Odlezelské jezero, Schillerova, Tobiášův vrch, Vochlice, Černá věž - hrad Cheb, pramen Třemošné a Javornice"/>
        <s v="Knížecí pláně, Žďárecká hora"/>
        <s v="U Jakuba"/>
        <s v="NPP Zlatý kůň, Kotýz,soutok Litavky a Berounky"/>
        <s v="Špičák, Třístoličník, Vysoký hřeben, Trojmezná, Nad Rakouskou loukou,Plechý, Koňský vrch "/>
        <s v="NPP Blanice, Prameniště Blanice, NPR Velká Niva, Soumarský most"/>
        <s v="Švihov, Klatovská hůrka, Klenová"/>
        <s v=" Loket, Krudum"/>
        <s v="NPR Libický luh, Maják, soutok Cidliny a Labe"/>
        <s v="NPR Boubín, Boubín + rozhledna, soutok Teplé Vltavy a Řásnice"/>
        <s v="NPR Černé a Čertovo jezero, Bílá Strž,Habr, Můstek, Jedlová,Malý Pernet, Pernet, Ostrý,Jezerní hora, Svaroh, Velký Kokrháč, Špičák + rozhl., Malý Špičák, Pancíř + rozhl.,pramen Úhlavy, Křemelné"/>
        <s v="pramen Vltavy"/>
        <s v="NPR Kraličký Sněžník + vrchol, Klepáč, Hleďsebe, Malý Sněžník, Stříbrnická, Blaník, Klepáč,soutok Želivky a Sázavy, pramen Moravy, hora Blaník"/>
        <s v="NPP Swamp, Špičák"/>
        <s v="Černá kupa, Sušina, Podbělka, Babuše, Souš, Slamník, Stezka v oblacích"/>
        <s v="Jeřáb, Val, Suchý vrch,Rozálka,Vrbice, soutok Zdobnice a Divoké Orlikce, Kněžné a Bělé, pramen Tiché Orlice"/>
        <s v="Radegast, Brdo"/>
        <s v="soutok Vltavy a Kocáby a Sázavy"/>
        <s v="Na Vrchách, Radost, soutok Berounky a Třemošné a Střely"/>
        <s v="Vojna, Kozlovský kopec, Pastýřka, Brněnské výstaviště"/>
        <s v="NPP Peklo, NPR Nonozámecký rybník"/>
        <s v="NPP Vizír, soutok Lužnice a Kosnětického potoka"/>
        <s v="NPP Pastviště u Finů, Přilba, Homole, Výška, Churáňovský vrch, rozhledna Churáňov, pramen Spůlky"/>
        <s v="NPP Rečkov, Klokočka, Radouš, NPR Malý a Velký Bezděz,Břehyně-Pecopala, Bezděz, Vrátenská hora, vrch Bělá,Zvířetice, Metoděj Vlach, Michalovice, Čížovka, Dneboch"/>
        <s v="Ždánov, sv.Jan, Královský kámen, Javorník, Strakonice, Klostrmannova rozhl, soutok Ostružné a Otavy"/>
        <s v="NPP Pekárna"/>
        <s v="NPP Blanice, Prameniště Blanice, Větrný, Doupná hora I a II, Na Skále, pramen Zlatého potoka "/>
        <s v="NPP Americká zahrada, Krkavec Bolfánek, Švihov"/>
        <s v="NPR Boubín, Boubín + rozhledna, Větřín, Solovec, Malý Bobík, Zátoňská hora, Soumarský most, soutok Řasnice a Vltavy"/>
        <s v="NPP Miroslavské kopce"/>
        <s v="NPP Pastviště u Finů, Svatobor,Sedlo, Stará Vodárna, Rabí"/>
        <s v="NPP Park v Bílé Lhotě, Třesín, Rešovské vodopády, NPR  Vrapač, Špraněk, Ramena řeky Moravy"/>
        <s v="NPP Dalejský profil, Požáry, U Nového mlýna, Barrandovské skály, Cibulka, Astronomická věž, Barrandovské terasy"/>
        <s v="NPP Vizír, NPR Žofinka, Stará a Nová řeka, soutok Lužnice a Koštěnického p., a Dračice, soutok Stropnice a Malše, pramen Zlaté stoky a Nové řeky"/>
        <s v="Nová radnice - Ostrava, soutok Ostravice a Lučiny"/>
        <s v="NPP Cikánka, Lochkovský profil, Černé rokle, Mandava, Týnec n.S., DDM Praha Modřany, Lahovický most, Ládví, soutok Berounky a Vltavy"/>
        <s v="NPR Lichnice, Milada, soutok Doubrava a Zlatý potok"/>
        <s v="Tanvaldský Špičák, soutok Kamenice a Černé Desné"/>
        <s v="NPR Jizerskohorské bučiny, Karlovské bučiny, Jizera, Černé věžičky, Holubník, Černá hora, Ptačí kupy, Polední kameny, Smědavská hora, Ještěd + rozhl, Císařský kámen, Petřín, Královka, Slovanka, Bramberk, Proseč, Nisanka, Na Čihadle, Liberecká výšina, Lido"/>
        <s v="Maják Járy Cirmamana,Štěpánka, soutok Jizery a Mumlavy "/>
        <s v="NPPZlatý vrch, Zámecký vrch, pramen Ploučnice"/>
        <s v="Krnap,NPR Jizerské bučiny, Smrk + rozhl.,pramen Jizery,  soutok Hájeného p. a Smědé,"/>
        <s v="Jizera, Na Čihadle, pramen Bělé Smědé"/>
        <s v="NPP Luční, Chýnovská jeskyně, NPR Ransko, Radostínské rašeliniště, Dářko Šťastná věž, Orlík, Hýlačka, Kotnov, Babina,"/>
        <s v="NPP Dubí hora"/>
        <s v="NPP Hojkovské rašeliniště, NPR Žehuňský rybník, Kněžičky, Polní Chrčice, Pípallka, Roštýn"/>
        <s v="NPP Radhošt, NPR Půlčín-Hradisko, Radhošť, Vartovna, Čartak, Jurkovičova, Stezka Valašska"/>
        <s v="Orlov, Studený vrch, Rožmitál, Památník Vojna, Řimbaba, Zvonička, pramen Kocáby"/>
        <s v="NPR Šipka, Bílá hora, Štramberská trůba"/>
        <s v="Hořický Chlum, Masarykova Věž samostatnosti, soutok Orlice a Labe"/>
        <s v="NPPKaproun, Hvězdná, Landštejn, Rožmberk, U Jakuba, pramen Žirovnice, Dračice, Koštěnického potoka"/>
        <s v="NPP Žákova hora, pramen Svratky"/>
        <s v="NP Šumava,Trojmezná, Plechý, Třístoličník, Nad rakouskou loukou, Skalky, Knížecí stolec, Jezerní vyhlídka, Černá věž, Semenec, soutok Vltavy a Malše a Lužnice"/>
        <s v="Chlum u Hradce Králové"/>
        <s v="Dolní Ždánidla, Poledník + rozhledna"/>
        <s v="NPP Chropyňský rybník"/>
        <s v="NPP Červený kopec"/>
        <s v="NPP Kukle, Fajtův kopec, Akátová věž, Hustopeče, Nedákov, Kraví hora"/>
        <s v="NPP Holý vrch, Polabská černava, Letiště Letňany, NPR Větrušická rokle, Libčice, soutok Labe a Vltavy a Pšovky, pramen Kozského potoka"/>
        <s v="NPP Březinské tisy, NPR Sedlo, Hořidla,Kohout, Kratochvílova, Ploučnická vyhlídka, Strážný vrch, Víťova rozhledna,soutok Labe a Liběchovky, Říp,"/>
        <s v="NPR Chýnovské jeskyně, Orlík, Borůvka, Terezka"/>
        <s v="NPP Rendez-vous, Červený kopec,  Reistna, Bratčice, Komec, Ostrá horka, "/>
        <s v="NP Českosaské švýcarsko, NPP Zlatý vrch, NPR Pravčická brána, Kaňon Labe, Růžák,Janov, Růženka,Studenec,Sokolí vrch, Velký Chlum,Pastýřská stěna, soutok Labe a Kamenice a Ploučnice"/>
        <s v="NPR Slanisko, Apollonův chrám,, Kozí hrádek, Kolonáda Reistna,"/>
        <s v="NPP Pastvisko,NPR Slanisko,Lednická kolonáda, Apollonův chrám, Kozí hrádek, Kolonáda Reistna,"/>
        <s v="NPR Kalendář věků, Slanisko, NPPTabulová, Děvín, Kozí hrádek,"/>
        <s v="NPP Pastvisko, NPR Lednické rybníky, Minaret, Kolonáda, Slunečná, Stezka nad vinohrady, soutok Trakmanky a Dyje"/>
        <s v="NPP Stročov"/>
        <s v="NPR Křivé jezero, Dalibor, Maják"/>
        <s v="Kratochvílova rozhledna, Na horách"/>
        <s v="Petřín - Jablonec, Černá Studnice, Nisanka , Bramberk, Slovanka, Královka"/>
        <s v="NPP Luční, Hýlačka, Babina, Čermákův vrch, Choustník, Svákov, Kotnov, soutok Lužnice a Dírenského p., Černovického pl, Kozského p."/>
        <s v="Hošťálkovice, Bolt tower, soutok Odry a Opavy"/>
        <s v="NPR Brouskův mlýn,"/>
        <s v="NPR Čertova stěna,Vítkův kámen + rozhl,, Medvědí vrch, Svatý Tomáš, Velký Plešný, Rožmberk"/>
        <s v="NPR Zastudnici, Vitčice, soutok Moravy a Bečvy"/>
        <s v="Milíře"/>
        <s v="NPP Chýnovské jeskyně"/>
        <s v="Víťova rozhledna"/>
        <s v="NPR Kladská rašeliniště, Vysoká u Tachova, Bohoušův vrch,Panský vrch"/>
        <s v="NPP Rovná, Javorník + rozhl, Královský kámen, Kašperk, Strakonice, soutok Volyňky a Otavy"/>
        <s v="Kožích, Lhotka u Berouna, Děd, Máminka, Žebrák, Třenická hora"/>
        <s v="Čebínka"/>
        <s v="Helfštýn"/>
        <s v="Vltava a Zákolanský potok a Bakovský p."/>
        <s v="Vrbice, Litice"/>
        <s v="Koráb, Rýzmberk"/>
        <s v="Milíř, soutok Orlice a Labe"/>
        <s v="Vrbice, Rozárka, Suchý vrch, soutok Orlice a Dědiny"/>
        <s v="NPP Žehuňský rybník, Dlouhopolsko, NPR Kněžíčky"/>
        <s v="NPP Žehuňský rybník, Dlouhopolsko, NPR Kněžíčky, soutok Orlice a Labe"/>
        <s v="Milíř, Vrbice, soutok Zdobnice a Divoká Orlice, Divoké a Tiché Orlice, Labe a Opatovický kanál, Bělé a Kněžné, Dědiny a Orlice, Bělé a Divoké Orlice, pramen Orlice"/>
        <s v="NPR Ransko, Radostínské rašeliniště, Dářko, Žákova hora, soutok Polečnice a Vltavy, pramen Svratky, Doubravy"/>
        <s v="NPP Rovná, Strakonice, Hoslovice,Velký Kamýk, Čestice, soutok Otavy a Volyňky"/>
        <s v="NPP Javorový vrch, NPR Polanecká niva,NPR Čantoria, NPR Praděd, Praděd + rozhl., Vysoké hole, Bezručova vyhl.,Kanihůra, Nová ves, ˇČantoryje,soutok Odra a Opava"/>
        <s v="Rožmitál, Řimbaba, Vojna, Studený vrch"/>
        <s v="NP Šumava, NPR Boubínský prales, Velká Niva, Boubín + rozhl.Soumarský moc, Solovec, Malý Bobík, Bobík, soutok Vltavy a Řasnice"/>
        <s v="NPR Rohová, Hláska,Andrlův Chlum,Milíř, soutok Moravy a Třebůvky a Moravské Sázavy,Moravské Sázavy a Březné,Tiché Orlice a Třebovky,  Divoké Orlice a Zdobnice a Bělé,Labe a Orlice a Loučné, pramen Loučné"/>
        <s v="Výška, Hrb, Nad Pasekou, Přilba,Churáňovský vrch, Homole, Světlá hora, Churáňov, pramen Losenice, Spůlka, Volyňka"/>
        <s v="Jezerní slať, pramen Vltavy"/>
        <s v="NPP Lendek + rozhledna, soutok Ostravice a Odry"/>
        <s v="NPP Skalky skřítků, Bučina, Hartenštejn, Panský vrch, Hamelika,Kamzík"/>
        <s v="Nisanka"/>
        <s v="NPP Blanice, Libín + rozhl, Na Skalce, Rohanovský vrch, kamenná, Bukovec, pramen Zlatého potoka"/>
        <s v="Krnap, Violík, Vysoká pláň, Vysoké kolo, Velký Šišák, Mužšké kameny, Dívčí kameny, Ptačí kámen, Pevnost, Milohlídka,  pramen Labe"/>
        <s v="Kostelní Hlavno"/>
        <s v="NPR Černé a Čertovo jezero, Špičák + rozhl., Pancíř + rozhl, Habr, Můstek, soutok Vydra a Křemelná, pramen Úhlavy a Otavy"/>
        <s v="NPP Zhejral, Kaproun, Krvavý a Kačležský rybník, Třístoličník, Vysoký hřeben, Trojmezná, Nad Rakouskou loukou, Plechý, Studničná,NadRakouskou cestou, Hraničník, Smrčina, Jindřichův Hradec, U Jakuba, Rydův kopec, soutok Nežárky a Lužnice a Hamerského potok"/>
        <s v="NPP Hojná Voda, pramen Stropnice"/>
        <s v="NPP Jestřebské slatiny, Dymník, Hrádek,"/>
        <s v="Libčice"/>
        <s v="Javorník, Královský kámen, Kostrmanova rozhl., Vojna, Řimbaba, Rudolfka"/>
        <s v="Břemeno, Březová hora,Huťská hora,Jelení kaliště,Lapka,Orel,Sokol-Antýgl,Tetřev,vyhlídková věž Jezerní slať,pramen Vydry"/>
        <s v="NPR Koda, Karlštejn, soutok Berounky a Loděnice"/>
        <s v="Čebínka, Zlobice"/>
        <s v="NPP Poličské stěny, NPR Broumovské stěny, Trčkov,Velká Deštná, Šerlich,Ćebínka, Zlobice,Skuhrov, Vrbice, Anna"/>
        <s v="NPR Libický luh, Majáj, Vodárna Kolín,Lesní hora, Luční hora, Zadní planina,Studniční hora, Sněžka, Růžová hora, soutok Labe a Doubravy a Cidliny"/>
        <s v="NPR Žehuňský rybník, Maják, Chrčice"/>
        <s v="Heřmanice, Frýdlantská výšina"/>
        <s v="Ostrá horka"/>
        <s v="soutok Morávky a Ostravice, pramen Ostravice"/>
        <s v="Velká Buková, soutok Berounky a Rakovnického potoka a Klíčavy"/>
        <s v="Libín + rozhl.. Orel, Břemeno, Lapka, Jelení kaliště, Huťská hora, Jezerní slať, Mařský vrch, soutok Otavy a Losenice, Vydry a Křemelné, pramen Otavy"/>
        <s v="Slovanka, Bramberk"/>
        <s v="NPR Jizerskohorské bučiny"/>
        <s v="Vartovna, Královec, Doubrava, Na skalce, Pod Vojansků, Velký Lopeník"/>
        <s v="Vysoký hřeben, Trojmezná, Nad rakouskou loukou, Plechý, Nad rakouskou cestou, Studničná, Hraničník, Smrčina, Třístoličník"/>
        <s v="NPP Blanice, Medník, Kozákov,Suché skály,Rohanovský vrch, Libín + rozhl., Žižkovský vysílač, Archeopark Netolice, Milíř, Sylván, Dubecko, Kozákov,soutok Kocáby a Vltavy, Vltavy a Sázavy,"/>
        <s v="NPP Búrová, NPR Javořina,Jezevčí, Drahy, U krížku, Obecnice, Slovácký dvůr, Maják, Modrá, vyhlídková věž Modrá"/>
        <s v="NPR Chlumská stráň, Týřov, soutok Berounky a Zbirožského potoka a Javornice"/>
        <s v="NPP Barrandovské skály, Cikánka,Černá rokle, Dalejský profil, Lochkovský profil, Požáry, U Nového Mlýna, Barrandovské terasy, Modřany, Lahovický most, soutok Vltava a Berounka"/>
        <s v="NPP Bílé stráně,Mostka, U Zámečku, soutok Labe a Ohře,"/>
        <s v="Kovářka, Šelmberk, pramen Blanice"/>
        <s v="Na Stráži, soutok Labe a Vltavy"/>
        <s v="NPP Hadce u Želivky,NPR Ve Studeném,Orlík, Český Šternberk,Březina, Bohdanka,Babka,Petrovice II, Zruč n.S.,Vysoká,soutok Blanice a Sázavy, Martinského potoka a Želivky, Trnavy a Želivky,Želivky a Sázavy, pramen Výrovky,"/>
        <s v="NPP Chejlava, Na Kožichu"/>
        <s v="Holý vrch, Stráž, Nad Bučinou, Stolová hora, Vysoký stolec´, Kostelní vrch, + J vrchol, Adamova hora, Oblík, Jezernice, Hoslovice, Čestice,soutok Vltavy a Bezdrevského potoka, pramen Vltavy"/>
        <s v="soutok Lužnice a Nežárky"/>
        <s v="NPR Radostínské rašeliniště, Dářko, Ransko, Žákova hora, Zuberský vrch, Bojka, Bára II, Na Chlumu, Barborka, pramen Svratky, Doubravy, Sázavy"/>
        <s v="NPP Kleneč, Dubí hora,Špičák, Mostka, Hořidla, Víťova rozhledna,  U Zámečku, Hláska, Kratochvílova rozhledna, soutok Labe a Ohře, Říp"/>
        <s v="NPR Břehyně- Pecopala"/>
        <s v="soutok Sázavy a Šlapanky"/>
        <s v="NPP Cikánka, Černá rokle, Dalejský profil, Lochkovský profil, Medník, Požáry, U Nového mlýna, Lahovický most, soutok Beronky a Vltavy, Vltavy a Sázavy,"/>
        <s v="NPP Americká zahrada, Bolfánek"/>
        <s v="NPP Radouč, Rečkov, Klokočka, Swamp, NPR Velký a Malý Bezděz, Pecopala, Michalovice, Vrchbělá, Bezděz"/>
        <s v="NPP Vosek, Kotel, Radost, soutok Klabavy a Berounky, Třemošné a Berounky, Střely a Berounky"/>
        <s v="NPP Peklo, NPR Novozámecký rybník"/>
        <s v="Kraví hora, Stezka nad vinohrady, Slunečná, Dalibor, Maják"/>
        <s v="NPP Pískovna Erika, NPR Rolavská vrchoviště,Plešivec + rozhl., Cibulka, Hard, Krudum, Loket,Tisovský vrch, soutok Rotavy a Svatavy, Ohře a Svatavy, pramen Rotavy"/>
        <s v="Spešov"/>
        <s v="NPR Černé a Čertovo jezero, Bílá strž, Malý Prenet, Prenet, Můstek, Habr, Pancíř + rozhl,, Ostrý, Velký Kokrháč, Svaroh, Jezerní hora, Malý, Špičák, Špičák + rozhl., pramen Úhlavy"/>
        <s v="Bezručova vyhlídka, Bílá hora"/>
        <s v="NPP Bublák a niva Plesné, Komorní hůrka, Lužní potok, Svatošské skály, NPR Soos, Háj u Aše, , Černá věž, Salingburg,Stráž, Zámeček, Zelená hora"/>
        <s v="pramen Liběchovky"/>
        <s v="NPP Jestřebské slatiny, Swamp, NPR Břehyně-Pecopala"/>
        <s v="NPR Mrazák, Lysá hora"/>
        <s v="NPP Vosek, Na Kotli"/>
        <s v="NPR Stará a Nová Řeka, soutok Lužnice a Dračice, pramen Zlaté stoky, Nové řeky"/>
        <s v="NPP Panská skála, Vyhlídková věž Jablonné v Podještědí, Rašovka, Vrchovina"/>
        <s v="Rohanovský vrch, Na Skále, Na Skalce, Libín + rozhl."/>
        <s v="NPR Unhošť, Božidarské rašeliniště,Kožová hora, Chmelový maják, Svatý vrch,Boží vyhlídka,Klínovec + rohl.,Černá skála, Barbora,Božidarský Špičák, soutok Blšanky a Ohře, "/>
        <s v="Krkavec, Sylván, Radyně, Na Vrchách, Chlum, soutok Mže a Radbuzy, Úhlavy a Radbuzy, Úslavy a Berounky, pramen Berounky,"/>
        <s v="Havran, Radnyě"/>
        <s v="NPR Vývěry Punkvy, Podvrší"/>
        <s v="NP Šumava, NPP Kaňkovy hory, Peklo, NPR Boubínský prales, Boubín + rozhl.,Modravská hora,Březník, Jezerní slať,  soutok Otavy a Volyňky, Vltavy a Berounky, pramen Vltavy, Vydry"/>
        <s v="NPR Pulčín, Čubův kopec, Na Strážné, Zdenička, Lebedov"/>
        <s v="NPR Čerchovské hvozdy, Čerchov + rozhl., Skalka, Šibeniční vrch"/>
        <s v="NPR Pochválovská stráň, Malý a Velký Štít,Vochlice, Tobiášův vrch, Schillerova rozhledna, Senecká hora, Líský, Mackova rozhledna, pramen Rakovnického p., Loděnice, Klíčavy"/>
        <s v="NPP Kaňkovy hory, NPR Lichnice, Milada,Lipnice,  soutok Sázavy a Sázavky"/>
        <s v="NPP Odlezelské jezero"/>
        <s v="Koráb, Rýzmberk, Vachotova věž, Kožich, sv.Markéta,pramen Merklínky"/>
        <s v="NPP Vrkoč, Větrušice, Střekovská vyhlídka, Střekov - hrad, Erbenova vyhlídka, soutok Labe a Bíliny"/>
        <s v="Strážný vrch"/>
        <s v="NPR Řežabinské tůně, Řežabince, Jarník "/>
        <s v="NPP Luční, soutok Vltavy a Malše"/>
        <s v="NPP Hrabanovská černava, Barrandovské terasy, soutok Vltavy a Dalejského p., Vltavy a Botiče"/>
        <s v="NPR Vyšenské kopce, Kleť + rozhl., Granátník, Černá věž, soutok Vltavy a Malše a Křemežského potoka"/>
        <s v="NPR Boubínský prales, Malý Bobík, Bobík, Boubín + rozhl.Třístoliční, Vysoký hřeben, Trojmezná, Nad Rakouskou cestou, Plechý, Nad Rakouskou loukou"/>
        <s v="NPR Vůznice,Vysoký vrch, Studený vrchVelká Buková,Máminka, Zvonička,soutok Berounky a Klíčavy , Vůznice, Rakovnického potoka, pramen Vůznice"/>
        <s v="Stráž, Holý vrch, Černá hora, Čertův vrch, Tetřev, Lapka, pramen Vltavy"/>
        <s v="NPP Rybníček u Hořan, Kaňk, Petrovice, Bohdanka, Havířská bouda, Březina, Vysoká"/>
        <s v="NPP Chýnovské jeskyně, Semenec, Radětice, Dobronice, Kotnov, Hýlačka, Babina, soutok Lužnice + Vltavy, Židovy strouhy, Smutné, Kozského potoka"/>
        <s v="NP Krkonoše,Čertova hora, Janova skála,  Bramberk, Černá Studnice, Královka, Nisanka, Petřín, Prosečský hřeben,Slovanka, Štěpánka, Tanvaldský Špičák, Maják Járy Cimrmana, soutok Černé Desné a Kamenice, Černé Desné a Bílé Desné, Mumlavy a Jizery"/>
        <s v="Orel, Březová hora, Sokol, Jezerní slať"/>
        <s v="Chlum u H:K., Kunětická hora"/>
        <s v="NPR Dářko, Radostínské rašeliniště, Bára II, Terezka, Na Stráži, Cimrmanova, Borůvka, soutok Labe a Jizery"/>
        <s v="NPP Radouč, Semínský přesyp, Klokočka, NPR Libický luh Bohdanečský rybník, Rečkov, Vodárenská vyhlídka, Maják, Polní Chrčice, Vodárna, Bedřichova vyhl., Zvířetice,Metoděje Vlacha,  soutok Labe a Cidliny, Mrliny, Labe a Jizery"/>
        <s v="NPP Úpolínová louka, Křížky, NPR Rolavské vrchoviště, Božídarské řašeliniště, Pluhův bor, Kladské rašeliny, Vysoká seč, Loučná, Meluzína, Hubertky,božídařský Špičák , Dub S vrchol,Klínovec + rozhl., ,Plešivec + rozhl.,  Blatenský vrch + rozhl., Boží vyhlí"/>
        <s v="Přilba, Homole, Výška, Churáňovsý vrch, Churáňov, soutok Křemelné a Vydry, pramen Spůlky, Vydry, Otavy"/>
        <s v="NPP Suché skály, Kozákov, NPR Čertův mlýn + vrchol, Radhošť + vrchol,Tanečnice, Radegast, Rožmitál, Tichánkova, Alainova věž, V Popelkách, Hlavatice, Dubecko, Kozákov, Kumburk, Chlum, Kabátice, Okrouhlá, Stezka Valašska,, pramen Cidliny, "/>
        <s v="Semenec, soutok Lužnice a Vltavy a Kozkého potoka"/>
        <s v="NPP Kleneč, Říp"/>
        <s v="NPR Chlumská stráň, Radost, soutok Berounky a Třemošné, Střely , Javornice"/>
        <s v="NPP Svatošské skály, Kožova hora, Mackova hora, Hartenštejn, Goethova vyhlídka, Vyhlídka Karla IV., Diana, Aberg, Loket, soutok Ohře + Teplé, Rolavy a Chodovského potoka,"/>
        <s v="NPP Slatinná louka, Vinice, soutok Výrovky a Šembery, Výrovky a Labe, "/>
        <s v="Archeopark Netolice, soutok Blanice a Zlatého potoka "/>
        <s v="NPR Božídarské rašeliniště, Klínovec + rozhl,. Plešivec + rozhl., Blatenský vrch + rozhl., Božídarská vyhlídka, Pajndl, "/>
        <s v="NPR Karlštejn, Koda, Děd, Kožova hora, Lhotka u Berouna, Městská hora, Veselov, soutok Berounky a Litavky a Loděnice"/>
        <s v="NPP V Jezírkách, Bilichovské údolí, NPR Karlštejn, Koda, Libický luh, Kozova hora, Mackova hora, Vrchbělá, Líský, soutok Blanice a Otavy, Labe a Cidliny"/>
        <s v="NPP Letiště Letňany, NPR Jizerskohorské bučiny, Rašeliniště Jizerky, Rašeliniště Jizery, Ještěd + rozhl., Sněžné věžičky, Sněžná hora, Holubník, Ptačí kupy, Jelení stráň, Bukovec, soutok Jizery a Jizerky "/>
        <s v="NPP Malhotky, NPR Strabišov - Oulehla, Salaš, Hostýn, Brdo, Holý kopec, soutok Moravy a Dřevnice"/>
        <s v="NPP Váté písky, Drahy"/>
        <s v="NPP Čerova zeď,Kozákov, Suché skály, NPR Karlovské bučiny , Ještěd + rozhl., Císařský kámen, Frýdštejn,Kopanina, Kozákov, Liberecká výšina Lidové sady, Rašovka, Vrchovina, soutok Lužické a Černé Nisy, pramen Mohelky"/>
        <s v="NPR Oblík, Raná, Hasištejn, Málkov, Stříbrník"/>
        <s v="Skalka, Poledník + rozhl., Polom, Zámecký les, Sklářský vrch,"/>
        <s v="NPP Adršpašsko-teplické skály, Radhošť, Besedná, Veselý vrch, Stezka Valašska, Hradišťský vrch,  Radegast, Radhošť, Tanečnice, "/>
        <s v="NPR Voděradské bučiny, Skalka, MDD Modřany, soutok Vltavy a Šáreckého potoka, pramen Šembery, "/>
        <s v="NPR Malý a Velký Bezděz, Bezděz"/>
        <s v="NPP Březinské tisy, Víťova rozhledna, Strážný vrch, Kohout, Ploučnická vyhlídka, Velký Chlum, Pastýřská stěna, Sokolí vrch, soutok Labe a Ploučnice"/>
        <s v="NPR Žofínský prales,Strážný S vrchol, Strážný, Žďárecká hora, Jelení hora Z vrchol,Jezerní slať S vrchol, Polecký vrch, Velký Kamýk, Slabošovka, soutok Vltavy a Otavy, Otavy a Lomnice, Lomnice a Skalice, Černé a Malše, pramen Černé, Řasnice,"/>
        <s v="NPP Šipka, Bílá hora, Štramberská trúba"/>
        <s v="NPR Šerák-Keprník, Šindelná hora, Šerák, Keprník, Červená hora, Trnová ora, Liščí hora, Travná hora, Smrk, Studený,Lví hora, soutok Branné a Moravy  pramen Branné, "/>
        <s v="NP Podyjí, NPR Červené blato, Anička, Mařenka, Rumburak, soutok Zeletavy a dyje"/>
        <s v="NP České Švýcarsko, NPP Pravčická brána, NPR Růžák, Růženka, Janov, soutok Labe a Kamenice"/>
        <s v="NPR Drbákov-Albetovy skály, Máminka, Zvonička, Studený vrch"/>
        <s v="Velká Deštná + rozhl., Jiráskova chata"/>
        <s v="NPP Landek, NPR Polanská niva, Radhošť, Tanečnice Z vrchol, Stezka Valašska,  Straážný vrch, Vodojem Bohumín, Landek, Hošťálkovice, Veselská rozhledna, soutok Ostravice a Odry"/>
        <s v="NPP Cikánský dolík, Lochkovský profil, Černé rokle, Libčice,"/>
        <s v="NPP Zlatý vrch, Panská skála, NPR Kaňon Labe, Novozámecký rybník, zřícenina Kamenice, Na stráži, Studenec"/>
        <s v="NPPMedník, Neštětická hora, Drahoušek, Pepř, Drtinova rozhl,, Veselý vrch, Vrškamýk, Milada, Rožmitál, soutok Vltavy a Mastníku, Sázavy , Kocáby"/>
        <s v="pramen Šáreckého potoka"/>
        <s v="NPP Dlouhopolsko, Žehuňský rybník, NPR Kněžičky, Libický luh,Voděřadské bučiny,  Bedřichova vyhlídka, Černá věž, Polní Chrčice, Skalka, Vinice, soutok Labe a Cidliny, Vltavy a Malše, pramen Šembery"/>
        <s v="Černá věž"/>
        <s v="Bolt tower, Nová radnice, Hladnov, soutok Ostravice a Lučiny, "/>
        <s v="NPP Chýnovská jeskyně,Černá věž,  pramen Blanice, Trnavy"/>
        <s v="NPR Bukačka, Malá Deštná, Velká Deštná + rozhl., Sedloňovský vrch, Šerlich, Vrchmezí, Kamenný vrch, pramen Bělé"/>
        <s v="soutok Odry a Jičínky"/>
        <s v="Petřínská rozhledna"/>
        <s v="NPPStročov, NPR Drbákov-Albertovy skály, Drtinova rozhl., Veselý vrch, Vrškamýk, Milada, Langova, Kuníček, soutok Mastníku a Vltavy, Zlaté stoky a Lužnice, pramen Mastníku, Smutné"/>
        <s v="Brodek, Velký Javorník, pramen Jičínky"/>
        <s v="NPR Vůznice, Týřov, Veselov, Kožova hora "/>
        <m/>
      </sharedItems>
    </cacheField>
    <cacheField name="Psi nevítáni v místě:" numFmtId="0">
      <sharedItems containsBlank="1"/>
    </cacheField>
    <cacheField name="Odkaz na trasu _x000a_(nejlépe na - mapy.cz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ilip Jarolím" refreshedDate="45692.777318171298" refreshedVersion="8" recordCount="499" xr:uid="{00000000-000A-0000-FFFF-FFFF01000000}">
  <cacheSource type="worksheet">
    <worksheetSource ref="A1:O500" sheet="nasbíraná data"/>
  </cacheSource>
  <cacheFields count="15">
    <cacheField name=" " numFmtId="0">
      <sharedItems containsNonDate="0" containsString="0" containsBlank="1"/>
    </cacheField>
    <cacheField name="Datum navštívení" numFmtId="164">
      <sharedItems containsSemiMixedTypes="0" containsNonDate="0" containsDate="1" containsString="0" minDate="2009-11-10T00:00:00" maxDate="2019-07-14T00:00:00"/>
    </cacheField>
    <cacheField name="Příjmení a jméno" numFmtId="0">
      <sharedItems/>
    </cacheField>
    <cacheField name="Volací jméno psa" numFmtId="0">
      <sharedItems/>
    </cacheField>
    <cacheField name="Body" numFmtId="0">
      <sharedItems containsSemiMixedTypes="0" containsString="0" containsNumber="1" containsInteger="1" minValue="1" maxValue="27"/>
    </cacheField>
    <cacheField name="NP" numFmtId="0">
      <sharedItems containsString="0" containsBlank="1" containsNumber="1" containsInteger="1" minValue="1" maxValue="2"/>
    </cacheField>
    <cacheField name="NPP" numFmtId="0">
      <sharedItems containsString="0" containsBlank="1" containsNumber="1" containsInteger="1" minValue="1" maxValue="5"/>
    </cacheField>
    <cacheField name="NPR" numFmtId="0">
      <sharedItems containsString="0" containsBlank="1" containsNumber="1" containsInteger="1" minValue="1" maxValue="3"/>
    </cacheField>
    <cacheField name="1000 m." numFmtId="0">
      <sharedItems containsString="0" containsBlank="1" containsNumber="1" containsInteger="1" minValue="1" maxValue="11"/>
    </cacheField>
    <cacheField name="Rozhledny" numFmtId="0">
      <sharedItems containsString="0" containsBlank="1" containsNumber="1" containsInteger="1" minValue="1" maxValue="12"/>
    </cacheField>
    <cacheField name="Soutoky" numFmtId="0">
      <sharedItems containsString="0" containsBlank="1" containsNumber="1" containsInteger="1" minValue="1" maxValue="3"/>
    </cacheField>
    <cacheField name="Prameny" numFmtId="0">
      <sharedItems containsString="0" containsBlank="1" containsNumber="1" containsInteger="1" minValue="1" maxValue="5"/>
    </cacheField>
    <cacheField name="Bájná hora Říp" numFmtId="0">
      <sharedItems containsString="0" containsBlank="1" containsNumber="1" containsInteger="1" minValue="1" maxValue="1"/>
    </cacheField>
    <cacheField name="Bájná hora Blaník" numFmtId="0">
      <sharedItems containsString="0" containsBlank="1" containsNumber="1" containsInteger="1" minValue="1" maxValue="1"/>
    </cacheField>
    <cacheField name="Navštívená místa_x000a_(červeně = psi nevítáni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ilip Jarolím" refreshedDate="45692.777318402776" refreshedVersion="8" recordCount="999" xr:uid="{00000000-000A-0000-FFFF-FFFF00000000}">
  <cacheSource type="worksheet">
    <worksheetSource ref="C1:N1000" sheet="nasbíraná data"/>
  </cacheSource>
  <cacheFields count="12">
    <cacheField name="Příjmení a jméno" numFmtId="0">
      <sharedItems containsBlank="1" count="53">
        <s v="Urabetzová Renata"/>
        <s v="Nedoma Radim"/>
        <s v="Vojtková Zuzana"/>
        <s v="Pletichová Wild.Lea"/>
        <s v="Šmerdovi"/>
        <s v="Kouřil Milan"/>
        <s v="Baláková Jana"/>
        <s v="Kroupová Aneta"/>
        <s v="Pečinková Ivana"/>
        <s v="Minolová Jana"/>
        <s v="Vrkoč Ivan"/>
        <s v="Štraitová Milada"/>
        <s v="Weiterovi"/>
        <s v="Míka Marek"/>
        <s v="Kalinová Jana"/>
        <s v="Bečvářová Martina"/>
        <s v="Libenská Katka"/>
        <s v="Novotná Tatiana"/>
        <s v="Kučerová Iveta"/>
        <s v="Lachmanová Fany"/>
        <s v="Pichová Alena"/>
        <s v="Nagyová Lenka"/>
        <s v="Šindelář Pavel"/>
        <s v="Pechanová Hana"/>
        <s v="Kremlová Daniela"/>
        <s v="Krhovják Tomáš"/>
        <s v="Hanč Jaroslav"/>
        <s v="Pastuchová Martina"/>
        <s v="Straka Richard"/>
        <s v="Chrenková Iveta"/>
        <s v="Ublová Marie"/>
        <s v="Rozdolská Dana "/>
        <s v="Laisková Monika"/>
        <s v="Netrvalová Pavla"/>
        <s v="Dobiášová Kateřina"/>
        <s v="Píšová Klára"/>
        <s v="Sýkorová Katka"/>
        <s v="Vaňourková Dana"/>
        <s v="Jareš Ondřej"/>
        <s v="Pačesová Lenka"/>
        <s v="Drahošová Michala"/>
        <s v="Novák Milan"/>
        <s v="Fivébrová Marta"/>
        <s v="Fialová Jana"/>
        <s v="Lukášovi"/>
        <s v="Majerko Tomáš"/>
        <s v="Holubová Alena"/>
        <s v="Poláková Radka"/>
        <s v="Vlasákovi E + P"/>
        <s v="Krejčiříková Zuzana"/>
        <s v="Novotná Jana"/>
        <s v="Hojná Zdenka"/>
        <m/>
      </sharedItems>
    </cacheField>
    <cacheField name="Volací jméno psa" numFmtId="0">
      <sharedItems containsBlank="1" count="52">
        <s v="Abigail"/>
        <s v="Čaky"/>
        <s v="Lara"/>
        <s v="Cíňa + Lestie"/>
        <s v="Ája"/>
        <s v="Bessie + Mína"/>
        <s v="Dixi"/>
        <s v="Argo"/>
        <s v="Tara"/>
        <s v="Chilli"/>
        <s v="Lája + Bianca"/>
        <s v="Beky"/>
        <s v="Bara"/>
        <s v="Holly"/>
        <s v="Bigi"/>
        <s v="Alma"/>
        <s v="Art"/>
        <s v="Sid"/>
        <s v="Gimi"/>
        <s v="Rory"/>
        <s v="Baron"/>
        <s v="Dafné"/>
        <s v="Dea"/>
        <s v="Denis"/>
        <s v="Ble+Ced+Abe"/>
        <s v="Iber"/>
        <s v="Ali"/>
        <s v="Bára"/>
        <s v="Hugo"/>
        <s v="Deli"/>
        <s v="Cejlí"/>
        <s v="Bety + Mia"/>
        <s v="Matouš"/>
        <s v="Lex"/>
        <s v="Alík"/>
        <s v="Alfons"/>
        <s v="Bery"/>
        <s v="Indy"/>
        <s v="Dorka"/>
        <s v="Ema"/>
        <s v="Anka + Brebta"/>
        <s v="Alby"/>
        <s v="Perla"/>
        <s v="Fanča"/>
        <s v="Ax"/>
        <s v="Dřípatka"/>
        <s v="Bačí"/>
        <s v="Bela"/>
        <s v="Ctisl. + Bramína"/>
        <s v="Ebby"/>
        <s v="Bája"/>
        <m/>
      </sharedItems>
    </cacheField>
    <cacheField name="Body" numFmtId="0">
      <sharedItems containsSemiMixedTypes="0" containsString="0" containsNumber="1" containsInteger="1" minValue="0" maxValue="27"/>
    </cacheField>
    <cacheField name="NP" numFmtId="0">
      <sharedItems containsString="0" containsBlank="1" containsNumber="1" containsInteger="1" minValue="1" maxValue="2"/>
    </cacheField>
    <cacheField name="NPP" numFmtId="0">
      <sharedItems containsString="0" containsBlank="1" containsNumber="1" containsInteger="1" minValue="1" maxValue="7"/>
    </cacheField>
    <cacheField name="NPR" numFmtId="0">
      <sharedItems containsString="0" containsBlank="1" containsNumber="1" containsInteger="1" minValue="1" maxValue="4"/>
    </cacheField>
    <cacheField name="1000 m." numFmtId="0">
      <sharedItems containsString="0" containsBlank="1" containsNumber="1" containsInteger="1" minValue="1" maxValue="12"/>
    </cacheField>
    <cacheField name="Rozhledny" numFmtId="0">
      <sharedItems containsString="0" containsBlank="1" containsNumber="1" containsInteger="1" minValue="1" maxValue="13"/>
    </cacheField>
    <cacheField name="Soutoky" numFmtId="0">
      <sharedItems containsString="0" containsBlank="1" containsNumber="1" containsInteger="1" minValue="1" maxValue="8"/>
    </cacheField>
    <cacheField name="Prameny" numFmtId="0">
      <sharedItems containsString="0" containsBlank="1" containsNumber="1" containsInteger="1" minValue="1" maxValue="5"/>
    </cacheField>
    <cacheField name="Bájná hora Říp" numFmtId="0">
      <sharedItems containsString="0" containsBlank="1" containsNumber="1" containsInteger="1" minValue="1" maxValue="1"/>
    </cacheField>
    <cacheField name="Bájná hora Blaník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m/>
    <x v="0"/>
    <x v="0"/>
    <s v="Abigail"/>
    <n v="1"/>
    <m/>
    <m/>
    <m/>
    <m/>
    <n v="1"/>
    <m/>
    <m/>
    <m/>
    <m/>
    <x v="0"/>
    <m/>
    <m/>
  </r>
  <r>
    <m/>
    <x v="1"/>
    <x v="1"/>
    <s v="Čaky"/>
    <n v="1"/>
    <m/>
    <m/>
    <m/>
    <m/>
    <n v="1"/>
    <m/>
    <m/>
    <m/>
    <m/>
    <x v="1"/>
    <s v="restaurace Velký Javorník"/>
    <m/>
  </r>
  <r>
    <m/>
    <x v="2"/>
    <x v="2"/>
    <s v="Lara"/>
    <n v="1"/>
    <m/>
    <m/>
    <m/>
    <n v="1"/>
    <m/>
    <m/>
    <m/>
    <m/>
    <m/>
    <x v="2"/>
    <m/>
    <m/>
  </r>
  <r>
    <m/>
    <x v="3"/>
    <x v="3"/>
    <s v="Cíňa + Lestie"/>
    <n v="1"/>
    <m/>
    <n v="1"/>
    <m/>
    <m/>
    <m/>
    <m/>
    <m/>
    <m/>
    <m/>
    <x v="3"/>
    <m/>
    <m/>
  </r>
  <r>
    <m/>
    <x v="4"/>
    <x v="1"/>
    <s v="Čaky"/>
    <n v="2"/>
    <m/>
    <n v="1"/>
    <m/>
    <m/>
    <n v="1"/>
    <m/>
    <m/>
    <m/>
    <m/>
    <x v="4"/>
    <m/>
    <m/>
  </r>
  <r>
    <m/>
    <x v="4"/>
    <x v="4"/>
    <s v="Ája"/>
    <n v="1"/>
    <m/>
    <m/>
    <n v="1"/>
    <m/>
    <m/>
    <m/>
    <m/>
    <m/>
    <m/>
    <x v="5"/>
    <m/>
    <m/>
  </r>
  <r>
    <m/>
    <x v="5"/>
    <x v="5"/>
    <s v="Bessie + Mína"/>
    <n v="3"/>
    <m/>
    <n v="2"/>
    <n v="1"/>
    <m/>
    <m/>
    <m/>
    <m/>
    <m/>
    <m/>
    <x v="6"/>
    <m/>
    <s v="https://mapy.cz/s/3keYZ "/>
  </r>
  <r>
    <m/>
    <x v="5"/>
    <x v="4"/>
    <s v="Ája"/>
    <n v="2"/>
    <n v="1"/>
    <m/>
    <m/>
    <m/>
    <n v="1"/>
    <m/>
    <m/>
    <m/>
    <m/>
    <x v="7"/>
    <m/>
    <m/>
  </r>
  <r>
    <m/>
    <x v="6"/>
    <x v="6"/>
    <s v="Dixi"/>
    <n v="2"/>
    <m/>
    <m/>
    <m/>
    <n v="1"/>
    <n v="1"/>
    <m/>
    <m/>
    <m/>
    <m/>
    <x v="8"/>
    <m/>
    <m/>
  </r>
  <r>
    <m/>
    <x v="6"/>
    <x v="7"/>
    <s v="Argo"/>
    <n v="2"/>
    <m/>
    <m/>
    <m/>
    <n v="1"/>
    <n v="1"/>
    <m/>
    <m/>
    <m/>
    <m/>
    <x v="8"/>
    <m/>
    <m/>
  </r>
  <r>
    <m/>
    <x v="6"/>
    <x v="8"/>
    <s v="Tara"/>
    <n v="1"/>
    <m/>
    <m/>
    <m/>
    <n v="1"/>
    <m/>
    <m/>
    <m/>
    <m/>
    <m/>
    <x v="9"/>
    <m/>
    <m/>
  </r>
  <r>
    <m/>
    <x v="6"/>
    <x v="9"/>
    <s v="Chilli"/>
    <n v="1"/>
    <m/>
    <m/>
    <m/>
    <m/>
    <n v="1"/>
    <m/>
    <m/>
    <m/>
    <m/>
    <x v="10"/>
    <m/>
    <m/>
  </r>
  <r>
    <m/>
    <x v="6"/>
    <x v="10"/>
    <s v="Lája + Bianca"/>
    <n v="2"/>
    <m/>
    <m/>
    <m/>
    <n v="1"/>
    <n v="1"/>
    <m/>
    <m/>
    <m/>
    <m/>
    <x v="8"/>
    <m/>
    <m/>
  </r>
  <r>
    <m/>
    <x v="7"/>
    <x v="5"/>
    <s v="Bessie + Mína"/>
    <n v="1"/>
    <m/>
    <n v="1"/>
    <m/>
    <m/>
    <m/>
    <m/>
    <m/>
    <m/>
    <m/>
    <x v="11"/>
    <m/>
    <m/>
  </r>
  <r>
    <m/>
    <x v="8"/>
    <x v="10"/>
    <s v="Lája + Bianca"/>
    <n v="2"/>
    <m/>
    <m/>
    <m/>
    <m/>
    <n v="2"/>
    <m/>
    <m/>
    <m/>
    <m/>
    <x v="12"/>
    <m/>
    <m/>
  </r>
  <r>
    <m/>
    <x v="9"/>
    <x v="5"/>
    <s v="Bessie + Mína"/>
    <n v="5"/>
    <m/>
    <n v="1"/>
    <n v="1"/>
    <m/>
    <n v="2"/>
    <n v="1"/>
    <m/>
    <m/>
    <m/>
    <x v="13"/>
    <m/>
    <s v="https://mapy.cz/s/3ljEn"/>
  </r>
  <r>
    <m/>
    <x v="9"/>
    <x v="11"/>
    <s v="Beky"/>
    <n v="5"/>
    <m/>
    <n v="2"/>
    <n v="1"/>
    <m/>
    <n v="2"/>
    <m/>
    <m/>
    <m/>
    <m/>
    <x v="14"/>
    <m/>
    <m/>
  </r>
  <r>
    <m/>
    <x v="9"/>
    <x v="3"/>
    <s v="Cíňa + Lestie"/>
    <n v="1"/>
    <m/>
    <m/>
    <m/>
    <m/>
    <n v="1"/>
    <m/>
    <m/>
    <m/>
    <m/>
    <x v="15"/>
    <m/>
    <m/>
  </r>
  <r>
    <m/>
    <x v="9"/>
    <x v="12"/>
    <s v="Bara"/>
    <n v="2"/>
    <m/>
    <m/>
    <m/>
    <n v="1"/>
    <n v="1"/>
    <m/>
    <m/>
    <m/>
    <m/>
    <x v="16"/>
    <m/>
    <m/>
  </r>
  <r>
    <m/>
    <x v="10"/>
    <x v="13"/>
    <s v="Holly"/>
    <n v="2"/>
    <m/>
    <m/>
    <m/>
    <m/>
    <n v="1"/>
    <m/>
    <m/>
    <m/>
    <n v="1"/>
    <x v="17"/>
    <m/>
    <s v="https://mapy.cz/s/3sbVa"/>
  </r>
  <r>
    <m/>
    <x v="10"/>
    <x v="14"/>
    <s v="Bigi"/>
    <n v="2"/>
    <m/>
    <m/>
    <m/>
    <m/>
    <n v="1"/>
    <m/>
    <m/>
    <m/>
    <n v="1"/>
    <x v="17"/>
    <m/>
    <m/>
  </r>
  <r>
    <m/>
    <x v="10"/>
    <x v="5"/>
    <s v="Bessie + Mína"/>
    <n v="1"/>
    <m/>
    <m/>
    <m/>
    <m/>
    <n v="1"/>
    <m/>
    <m/>
    <m/>
    <m/>
    <x v="18"/>
    <m/>
    <m/>
  </r>
  <r>
    <m/>
    <x v="10"/>
    <x v="1"/>
    <s v="Čaky"/>
    <n v="1"/>
    <m/>
    <m/>
    <m/>
    <m/>
    <n v="1"/>
    <m/>
    <m/>
    <m/>
    <m/>
    <x v="19"/>
    <m/>
    <m/>
  </r>
  <r>
    <m/>
    <x v="10"/>
    <x v="9"/>
    <s v="Chilli"/>
    <n v="3"/>
    <m/>
    <m/>
    <m/>
    <m/>
    <n v="2"/>
    <m/>
    <n v="1"/>
    <m/>
    <m/>
    <x v="20"/>
    <m/>
    <m/>
  </r>
  <r>
    <m/>
    <x v="11"/>
    <x v="9"/>
    <s v="Chilli"/>
    <n v="1"/>
    <m/>
    <m/>
    <m/>
    <m/>
    <n v="1"/>
    <m/>
    <m/>
    <m/>
    <m/>
    <x v="21"/>
    <m/>
    <m/>
  </r>
  <r>
    <m/>
    <x v="12"/>
    <x v="10"/>
    <s v="Lája + Bianca"/>
    <n v="2"/>
    <m/>
    <m/>
    <n v="1"/>
    <m/>
    <n v="1"/>
    <m/>
    <m/>
    <m/>
    <m/>
    <x v="22"/>
    <m/>
    <m/>
  </r>
  <r>
    <m/>
    <x v="13"/>
    <x v="1"/>
    <s v="Čaky"/>
    <n v="2"/>
    <m/>
    <m/>
    <n v="1"/>
    <n v="1"/>
    <m/>
    <m/>
    <m/>
    <m/>
    <m/>
    <x v="23"/>
    <m/>
    <m/>
  </r>
  <r>
    <m/>
    <x v="14"/>
    <x v="10"/>
    <s v="Lája + Bianca"/>
    <n v="1"/>
    <m/>
    <m/>
    <m/>
    <m/>
    <m/>
    <n v="1"/>
    <m/>
    <m/>
    <m/>
    <x v="24"/>
    <m/>
    <m/>
  </r>
  <r>
    <m/>
    <x v="14"/>
    <x v="12"/>
    <s v="Bara"/>
    <n v="1"/>
    <m/>
    <m/>
    <m/>
    <m/>
    <m/>
    <n v="1"/>
    <m/>
    <m/>
    <m/>
    <x v="25"/>
    <m/>
    <m/>
  </r>
  <r>
    <m/>
    <x v="15"/>
    <x v="14"/>
    <s v="Bigi"/>
    <n v="2"/>
    <m/>
    <m/>
    <m/>
    <m/>
    <n v="1"/>
    <n v="1"/>
    <m/>
    <m/>
    <m/>
    <x v="26"/>
    <m/>
    <m/>
  </r>
  <r>
    <m/>
    <x v="15"/>
    <x v="10"/>
    <s v="Lája + Bianca"/>
    <n v="3"/>
    <m/>
    <m/>
    <m/>
    <m/>
    <n v="1"/>
    <n v="2"/>
    <m/>
    <m/>
    <m/>
    <x v="27"/>
    <m/>
    <m/>
  </r>
  <r>
    <m/>
    <x v="16"/>
    <x v="5"/>
    <s v="Bessie + Mína"/>
    <n v="4"/>
    <m/>
    <n v="3"/>
    <m/>
    <m/>
    <n v="1"/>
    <m/>
    <m/>
    <m/>
    <m/>
    <x v="28"/>
    <m/>
    <s v="https://mapy.cz/s/3moH0"/>
  </r>
  <r>
    <m/>
    <x v="16"/>
    <x v="11"/>
    <s v="Beky"/>
    <n v="1"/>
    <m/>
    <m/>
    <n v="1"/>
    <m/>
    <m/>
    <m/>
    <m/>
    <m/>
    <m/>
    <x v="29"/>
    <m/>
    <m/>
  </r>
  <r>
    <m/>
    <x v="16"/>
    <x v="15"/>
    <s v="Alma"/>
    <n v="2"/>
    <m/>
    <m/>
    <m/>
    <m/>
    <n v="1"/>
    <n v="1"/>
    <m/>
    <m/>
    <m/>
    <x v="30"/>
    <m/>
    <m/>
  </r>
  <r>
    <m/>
    <x v="16"/>
    <x v="13"/>
    <s v="Holly"/>
    <n v="1"/>
    <m/>
    <m/>
    <m/>
    <m/>
    <n v="1"/>
    <m/>
    <m/>
    <m/>
    <m/>
    <x v="31"/>
    <m/>
    <m/>
  </r>
  <r>
    <m/>
    <x v="16"/>
    <x v="16"/>
    <s v="Art"/>
    <n v="1"/>
    <m/>
    <m/>
    <m/>
    <m/>
    <n v="1"/>
    <m/>
    <m/>
    <m/>
    <m/>
    <x v="32"/>
    <m/>
    <m/>
  </r>
  <r>
    <m/>
    <x v="16"/>
    <x v="0"/>
    <s v="Abigail"/>
    <n v="1"/>
    <m/>
    <m/>
    <n v="1"/>
    <m/>
    <m/>
    <m/>
    <m/>
    <m/>
    <m/>
    <x v="29"/>
    <m/>
    <m/>
  </r>
  <r>
    <m/>
    <x v="16"/>
    <x v="9"/>
    <s v="Chilli"/>
    <n v="1"/>
    <m/>
    <m/>
    <m/>
    <m/>
    <n v="1"/>
    <m/>
    <m/>
    <m/>
    <m/>
    <x v="33"/>
    <m/>
    <m/>
  </r>
  <r>
    <m/>
    <x v="16"/>
    <x v="12"/>
    <s v="Bara"/>
    <n v="1"/>
    <m/>
    <m/>
    <m/>
    <m/>
    <n v="1"/>
    <m/>
    <m/>
    <m/>
    <m/>
    <x v="34"/>
    <m/>
    <m/>
  </r>
  <r>
    <m/>
    <x v="17"/>
    <x v="1"/>
    <s v="Čaky"/>
    <n v="2"/>
    <m/>
    <m/>
    <n v="1"/>
    <m/>
    <n v="1"/>
    <m/>
    <m/>
    <m/>
    <m/>
    <x v="35"/>
    <m/>
    <m/>
  </r>
  <r>
    <m/>
    <x v="17"/>
    <x v="17"/>
    <s v="Sid"/>
    <n v="2"/>
    <m/>
    <m/>
    <m/>
    <n v="1"/>
    <n v="1"/>
    <m/>
    <m/>
    <m/>
    <m/>
    <x v="8"/>
    <m/>
    <m/>
  </r>
  <r>
    <m/>
    <x v="17"/>
    <x v="14"/>
    <s v="Bigi"/>
    <n v="2"/>
    <m/>
    <m/>
    <m/>
    <m/>
    <n v="1"/>
    <n v="1"/>
    <m/>
    <m/>
    <m/>
    <x v="36"/>
    <m/>
    <s v="https://mapy.cz/turisticka?planovani-trasy&amp;x=14.9244701&amp;y=49.7996063&amp;z=16&amp;box=1&amp;rc=95X-ixWOUBgg6ff5hiNgp0hunG6f6NhhseGqg.ufWj50XX03fCeoN3ZQ&amp;rs=coor&amp;rs=coor&amp;rs=coor&amp;rs=coor&amp;rs=coor&amp;rs=coor&amp;rs=addr&amp;rs=coor&amp;rs=coor&amp;ri=&amp;ri=&amp;ri=&amp;ri=&amp;ri=&amp;ri=&amp;ri=9430374&amp;ri=&amp;ri=&amp;"/>
  </r>
  <r>
    <m/>
    <x v="17"/>
    <x v="18"/>
    <s v="Gimi"/>
    <n v="1"/>
    <m/>
    <m/>
    <m/>
    <m/>
    <n v="1"/>
    <m/>
    <m/>
    <m/>
    <m/>
    <x v="37"/>
    <m/>
    <m/>
  </r>
  <r>
    <m/>
    <x v="17"/>
    <x v="10"/>
    <s v="Lája + Bianca"/>
    <n v="2"/>
    <m/>
    <m/>
    <m/>
    <n v="1"/>
    <n v="1"/>
    <m/>
    <m/>
    <m/>
    <m/>
    <x v="38"/>
    <m/>
    <m/>
  </r>
  <r>
    <m/>
    <x v="17"/>
    <x v="9"/>
    <s v="Chilli"/>
    <n v="1"/>
    <m/>
    <m/>
    <m/>
    <m/>
    <n v="1"/>
    <m/>
    <m/>
    <m/>
    <m/>
    <x v="39"/>
    <m/>
    <m/>
  </r>
  <r>
    <m/>
    <x v="17"/>
    <x v="7"/>
    <s v="Argo"/>
    <n v="1"/>
    <m/>
    <m/>
    <m/>
    <m/>
    <n v="1"/>
    <m/>
    <m/>
    <m/>
    <m/>
    <x v="34"/>
    <m/>
    <m/>
  </r>
  <r>
    <m/>
    <x v="17"/>
    <x v="12"/>
    <s v="Bara"/>
    <n v="3"/>
    <m/>
    <m/>
    <n v="1"/>
    <m/>
    <n v="1"/>
    <n v="1"/>
    <m/>
    <m/>
    <m/>
    <x v="40"/>
    <m/>
    <m/>
  </r>
  <r>
    <m/>
    <x v="18"/>
    <x v="3"/>
    <s v="Cíňa + Lestie"/>
    <n v="2"/>
    <m/>
    <m/>
    <m/>
    <m/>
    <m/>
    <n v="1"/>
    <m/>
    <n v="1"/>
    <m/>
    <x v="41"/>
    <m/>
    <m/>
  </r>
  <r>
    <m/>
    <x v="19"/>
    <x v="5"/>
    <s v="Bessie + Mína"/>
    <n v="3"/>
    <m/>
    <m/>
    <n v="1"/>
    <m/>
    <n v="2"/>
    <m/>
    <m/>
    <m/>
    <m/>
    <x v="42"/>
    <m/>
    <s v="https://mapy.cz/s/3mRXL"/>
  </r>
  <r>
    <m/>
    <x v="19"/>
    <x v="10"/>
    <s v="Lája + Bianca"/>
    <n v="3"/>
    <m/>
    <m/>
    <n v="1"/>
    <m/>
    <n v="1"/>
    <n v="1"/>
    <m/>
    <m/>
    <m/>
    <x v="43"/>
    <m/>
    <m/>
  </r>
  <r>
    <m/>
    <x v="20"/>
    <x v="18"/>
    <s v="Gimi"/>
    <n v="2"/>
    <m/>
    <m/>
    <m/>
    <m/>
    <n v="2"/>
    <m/>
    <m/>
    <m/>
    <m/>
    <x v="44"/>
    <m/>
    <m/>
  </r>
  <r>
    <m/>
    <x v="21"/>
    <x v="10"/>
    <s v="Lája + Bianca"/>
    <n v="1"/>
    <m/>
    <m/>
    <m/>
    <m/>
    <n v="1"/>
    <m/>
    <m/>
    <m/>
    <m/>
    <x v="45"/>
    <m/>
    <m/>
  </r>
  <r>
    <m/>
    <x v="22"/>
    <x v="5"/>
    <s v="Bessie + Mína"/>
    <n v="2"/>
    <m/>
    <m/>
    <m/>
    <m/>
    <n v="1"/>
    <n v="1"/>
    <m/>
    <m/>
    <m/>
    <x v="46"/>
    <m/>
    <s v="https://mapy.cz/s/3nmSt_x000a_"/>
  </r>
  <r>
    <m/>
    <x v="22"/>
    <x v="10"/>
    <s v="Lája + Bianca"/>
    <n v="3"/>
    <m/>
    <m/>
    <m/>
    <m/>
    <n v="3"/>
    <m/>
    <m/>
    <m/>
    <m/>
    <x v="47"/>
    <m/>
    <m/>
  </r>
  <r>
    <m/>
    <x v="22"/>
    <x v="2"/>
    <s v="Lara"/>
    <n v="1"/>
    <m/>
    <m/>
    <m/>
    <n v="1"/>
    <m/>
    <m/>
    <m/>
    <m/>
    <m/>
    <x v="48"/>
    <m/>
    <m/>
  </r>
  <r>
    <m/>
    <x v="23"/>
    <x v="14"/>
    <s v="Bigi"/>
    <n v="1"/>
    <m/>
    <m/>
    <m/>
    <m/>
    <n v="1"/>
    <m/>
    <m/>
    <m/>
    <m/>
    <x v="49"/>
    <m/>
    <m/>
  </r>
  <r>
    <m/>
    <x v="23"/>
    <x v="5"/>
    <s v="Bessie + Mína"/>
    <n v="3"/>
    <m/>
    <n v="1"/>
    <m/>
    <m/>
    <n v="2"/>
    <m/>
    <m/>
    <m/>
    <m/>
    <x v="50"/>
    <m/>
    <s v="https://mapy.cz/s/3nsZE"/>
  </r>
  <r>
    <m/>
    <x v="23"/>
    <x v="11"/>
    <s v="Beky"/>
    <n v="2"/>
    <m/>
    <m/>
    <m/>
    <m/>
    <n v="2"/>
    <m/>
    <m/>
    <m/>
    <m/>
    <x v="51"/>
    <m/>
    <m/>
  </r>
  <r>
    <m/>
    <x v="23"/>
    <x v="9"/>
    <s v="Chilli"/>
    <n v="1"/>
    <m/>
    <m/>
    <m/>
    <m/>
    <n v="1"/>
    <m/>
    <m/>
    <m/>
    <m/>
    <x v="18"/>
    <m/>
    <m/>
  </r>
  <r>
    <m/>
    <x v="23"/>
    <x v="12"/>
    <s v="Bara"/>
    <n v="1"/>
    <m/>
    <m/>
    <m/>
    <m/>
    <m/>
    <m/>
    <n v="1"/>
    <m/>
    <m/>
    <x v="52"/>
    <m/>
    <m/>
  </r>
  <r>
    <m/>
    <x v="24"/>
    <x v="16"/>
    <s v="Art"/>
    <n v="1"/>
    <m/>
    <m/>
    <m/>
    <m/>
    <n v="1"/>
    <m/>
    <m/>
    <m/>
    <m/>
    <x v="53"/>
    <m/>
    <m/>
  </r>
  <r>
    <m/>
    <x v="24"/>
    <x v="0"/>
    <s v="Abigail"/>
    <n v="1"/>
    <m/>
    <m/>
    <m/>
    <m/>
    <n v="1"/>
    <m/>
    <m/>
    <m/>
    <m/>
    <x v="54"/>
    <m/>
    <m/>
  </r>
  <r>
    <m/>
    <x v="25"/>
    <x v="5"/>
    <s v="Bessie + Mína"/>
    <n v="1"/>
    <m/>
    <m/>
    <m/>
    <m/>
    <n v="1"/>
    <m/>
    <m/>
    <m/>
    <m/>
    <x v="55"/>
    <m/>
    <s v="https://mapy.cz/s/3nIOO"/>
  </r>
  <r>
    <m/>
    <x v="25"/>
    <x v="16"/>
    <s v="Art"/>
    <n v="1"/>
    <m/>
    <m/>
    <m/>
    <m/>
    <n v="1"/>
    <m/>
    <m/>
    <m/>
    <m/>
    <x v="56"/>
    <m/>
    <m/>
  </r>
  <r>
    <m/>
    <x v="25"/>
    <x v="0"/>
    <s v="Abigail"/>
    <n v="1"/>
    <m/>
    <m/>
    <m/>
    <m/>
    <n v="1"/>
    <m/>
    <m/>
    <m/>
    <m/>
    <x v="55"/>
    <m/>
    <m/>
  </r>
  <r>
    <m/>
    <x v="26"/>
    <x v="5"/>
    <s v="Bessie + Mína"/>
    <n v="1"/>
    <m/>
    <m/>
    <m/>
    <m/>
    <n v="1"/>
    <m/>
    <m/>
    <m/>
    <m/>
    <x v="57"/>
    <m/>
    <s v="https://mapy.cz/s/3nZ8J"/>
  </r>
  <r>
    <m/>
    <x v="26"/>
    <x v="9"/>
    <s v="Chilli"/>
    <n v="2"/>
    <m/>
    <m/>
    <n v="1"/>
    <m/>
    <n v="1"/>
    <m/>
    <m/>
    <m/>
    <m/>
    <x v="58"/>
    <m/>
    <m/>
  </r>
  <r>
    <m/>
    <x v="27"/>
    <x v="1"/>
    <s v="Čaky"/>
    <n v="2"/>
    <m/>
    <m/>
    <m/>
    <m/>
    <n v="2"/>
    <m/>
    <m/>
    <m/>
    <m/>
    <x v="59"/>
    <m/>
    <m/>
  </r>
  <r>
    <m/>
    <x v="28"/>
    <x v="1"/>
    <s v="Čaky"/>
    <n v="1"/>
    <m/>
    <m/>
    <m/>
    <m/>
    <n v="1"/>
    <m/>
    <m/>
    <m/>
    <m/>
    <x v="60"/>
    <m/>
    <m/>
  </r>
  <r>
    <m/>
    <x v="28"/>
    <x v="14"/>
    <s v="Bigi"/>
    <n v="1"/>
    <m/>
    <m/>
    <m/>
    <m/>
    <n v="1"/>
    <m/>
    <m/>
    <m/>
    <m/>
    <x v="61"/>
    <m/>
    <m/>
  </r>
  <r>
    <m/>
    <x v="28"/>
    <x v="5"/>
    <s v="Bessie + Mína"/>
    <n v="2"/>
    <m/>
    <m/>
    <m/>
    <m/>
    <n v="2"/>
    <m/>
    <m/>
    <m/>
    <m/>
    <x v="62"/>
    <m/>
    <s v="https://mapy.cz/s/3ogwc"/>
  </r>
  <r>
    <m/>
    <x v="28"/>
    <x v="10"/>
    <s v="Lája + Bianca"/>
    <n v="3"/>
    <m/>
    <m/>
    <n v="1"/>
    <n v="1"/>
    <n v="1"/>
    <m/>
    <m/>
    <m/>
    <m/>
    <x v="63"/>
    <m/>
    <m/>
  </r>
  <r>
    <m/>
    <x v="29"/>
    <x v="12"/>
    <s v="Bara"/>
    <n v="2"/>
    <m/>
    <m/>
    <m/>
    <m/>
    <n v="1"/>
    <n v="1"/>
    <m/>
    <m/>
    <m/>
    <x v="64"/>
    <m/>
    <m/>
  </r>
  <r>
    <m/>
    <x v="30"/>
    <x v="14"/>
    <s v="Bigi"/>
    <n v="2"/>
    <m/>
    <m/>
    <m/>
    <m/>
    <n v="2"/>
    <m/>
    <m/>
    <m/>
    <m/>
    <x v="65"/>
    <m/>
    <m/>
  </r>
  <r>
    <m/>
    <x v="30"/>
    <x v="15"/>
    <s v="Alma"/>
    <n v="1"/>
    <m/>
    <m/>
    <m/>
    <m/>
    <n v="1"/>
    <m/>
    <m/>
    <m/>
    <m/>
    <x v="66"/>
    <m/>
    <m/>
  </r>
  <r>
    <m/>
    <x v="30"/>
    <x v="1"/>
    <s v="Čaky"/>
    <n v="6"/>
    <m/>
    <m/>
    <n v="1"/>
    <n v="1"/>
    <n v="2"/>
    <m/>
    <n v="2"/>
    <m/>
    <m/>
    <x v="67"/>
    <m/>
    <m/>
  </r>
  <r>
    <m/>
    <x v="30"/>
    <x v="16"/>
    <s v="Art"/>
    <n v="2"/>
    <m/>
    <m/>
    <m/>
    <m/>
    <n v="1"/>
    <n v="1"/>
    <m/>
    <m/>
    <m/>
    <x v="68"/>
    <m/>
    <m/>
  </r>
  <r>
    <m/>
    <x v="30"/>
    <x v="10"/>
    <s v="Lája + Bianca"/>
    <n v="5"/>
    <m/>
    <n v="1"/>
    <m/>
    <m/>
    <n v="4"/>
    <m/>
    <m/>
    <m/>
    <m/>
    <x v="69"/>
    <m/>
    <m/>
  </r>
  <r>
    <m/>
    <x v="30"/>
    <x v="6"/>
    <s v="Dixi"/>
    <n v="2"/>
    <m/>
    <m/>
    <m/>
    <m/>
    <n v="2"/>
    <m/>
    <m/>
    <m/>
    <m/>
    <x v="65"/>
    <m/>
    <m/>
  </r>
  <r>
    <m/>
    <x v="30"/>
    <x v="7"/>
    <s v="Argo"/>
    <n v="2"/>
    <m/>
    <m/>
    <m/>
    <m/>
    <n v="2"/>
    <m/>
    <m/>
    <m/>
    <m/>
    <x v="65"/>
    <m/>
    <m/>
  </r>
  <r>
    <m/>
    <x v="31"/>
    <x v="5"/>
    <s v="Bessie + Mína"/>
    <n v="4"/>
    <m/>
    <m/>
    <m/>
    <m/>
    <n v="4"/>
    <m/>
    <m/>
    <m/>
    <m/>
    <x v="70"/>
    <m/>
    <s v="https://mapy.cz/s/3oE1D"/>
  </r>
  <r>
    <m/>
    <x v="31"/>
    <x v="9"/>
    <s v="Chilli"/>
    <n v="1"/>
    <m/>
    <n v="1"/>
    <m/>
    <m/>
    <m/>
    <m/>
    <m/>
    <m/>
    <m/>
    <x v="71"/>
    <m/>
    <m/>
  </r>
  <r>
    <m/>
    <x v="31"/>
    <x v="11"/>
    <s v="Beky"/>
    <n v="3"/>
    <m/>
    <n v="1"/>
    <n v="1"/>
    <m/>
    <n v="1"/>
    <m/>
    <m/>
    <m/>
    <m/>
    <x v="72"/>
    <m/>
    <m/>
  </r>
  <r>
    <m/>
    <x v="31"/>
    <x v="19"/>
    <s v="Rory"/>
    <n v="1"/>
    <m/>
    <m/>
    <m/>
    <m/>
    <m/>
    <m/>
    <m/>
    <n v="1"/>
    <m/>
    <x v="73"/>
    <m/>
    <m/>
  </r>
  <r>
    <m/>
    <x v="32"/>
    <x v="20"/>
    <s v="Baron"/>
    <n v="1"/>
    <m/>
    <m/>
    <m/>
    <m/>
    <n v="1"/>
    <m/>
    <m/>
    <m/>
    <m/>
    <x v="74"/>
    <m/>
    <m/>
  </r>
  <r>
    <m/>
    <x v="33"/>
    <x v="10"/>
    <s v="Lája + Bianca"/>
    <n v="6"/>
    <m/>
    <m/>
    <m/>
    <n v="3"/>
    <n v="3"/>
    <m/>
    <m/>
    <m/>
    <m/>
    <x v="75"/>
    <m/>
    <m/>
  </r>
  <r>
    <m/>
    <x v="33"/>
    <x v="20"/>
    <s v="Baron"/>
    <n v="1"/>
    <m/>
    <m/>
    <m/>
    <m/>
    <n v="1"/>
    <m/>
    <m/>
    <m/>
    <m/>
    <x v="18"/>
    <m/>
    <m/>
  </r>
  <r>
    <m/>
    <x v="34"/>
    <x v="20"/>
    <s v="Baron"/>
    <n v="1"/>
    <m/>
    <m/>
    <m/>
    <m/>
    <n v="1"/>
    <m/>
    <m/>
    <m/>
    <m/>
    <x v="76"/>
    <m/>
    <m/>
  </r>
  <r>
    <m/>
    <x v="34"/>
    <x v="21"/>
    <s v="Dafné"/>
    <n v="1"/>
    <m/>
    <m/>
    <m/>
    <m/>
    <n v="1"/>
    <m/>
    <m/>
    <m/>
    <m/>
    <x v="77"/>
    <m/>
    <m/>
  </r>
  <r>
    <m/>
    <x v="35"/>
    <x v="16"/>
    <s v="Art"/>
    <n v="1"/>
    <m/>
    <m/>
    <n v="1"/>
    <m/>
    <m/>
    <m/>
    <m/>
    <m/>
    <m/>
    <x v="78"/>
    <m/>
    <m/>
  </r>
  <r>
    <m/>
    <x v="35"/>
    <x v="1"/>
    <s v="Čaky"/>
    <n v="3"/>
    <m/>
    <m/>
    <n v="2"/>
    <m/>
    <n v="1"/>
    <m/>
    <m/>
    <m/>
    <m/>
    <x v="79"/>
    <m/>
    <m/>
  </r>
  <r>
    <m/>
    <x v="35"/>
    <x v="10"/>
    <s v="Lája + Bianca"/>
    <n v="5"/>
    <m/>
    <m/>
    <m/>
    <n v="3"/>
    <n v="2"/>
    <m/>
    <m/>
    <m/>
    <m/>
    <x v="80"/>
    <m/>
    <m/>
  </r>
  <r>
    <m/>
    <x v="35"/>
    <x v="12"/>
    <s v="Bara"/>
    <n v="2"/>
    <m/>
    <m/>
    <n v="1"/>
    <m/>
    <n v="1"/>
    <m/>
    <m/>
    <m/>
    <m/>
    <x v="22"/>
    <m/>
    <m/>
  </r>
  <r>
    <m/>
    <x v="35"/>
    <x v="8"/>
    <s v="Tara"/>
    <n v="2"/>
    <m/>
    <m/>
    <m/>
    <n v="1"/>
    <n v="1"/>
    <m/>
    <m/>
    <m/>
    <m/>
    <x v="81"/>
    <m/>
    <m/>
  </r>
  <r>
    <m/>
    <x v="35"/>
    <x v="22"/>
    <s v="Dea"/>
    <n v="1"/>
    <m/>
    <m/>
    <m/>
    <m/>
    <n v="1"/>
    <m/>
    <m/>
    <m/>
    <m/>
    <x v="82"/>
    <m/>
    <m/>
  </r>
  <r>
    <m/>
    <x v="35"/>
    <x v="1"/>
    <s v="Čaky"/>
    <n v="7"/>
    <m/>
    <m/>
    <m/>
    <n v="7"/>
    <m/>
    <m/>
    <m/>
    <m/>
    <m/>
    <x v="83"/>
    <m/>
    <m/>
  </r>
  <r>
    <m/>
    <x v="36"/>
    <x v="18"/>
    <s v="Gimi"/>
    <n v="1"/>
    <m/>
    <m/>
    <m/>
    <m/>
    <n v="1"/>
    <m/>
    <m/>
    <m/>
    <m/>
    <x v="84"/>
    <m/>
    <m/>
  </r>
  <r>
    <m/>
    <x v="36"/>
    <x v="14"/>
    <s v="Bigi"/>
    <n v="2"/>
    <m/>
    <m/>
    <m/>
    <m/>
    <n v="2"/>
    <m/>
    <m/>
    <m/>
    <m/>
    <x v="85"/>
    <m/>
    <m/>
  </r>
  <r>
    <m/>
    <x v="36"/>
    <x v="13"/>
    <s v="Holly"/>
    <n v="2"/>
    <m/>
    <m/>
    <m/>
    <m/>
    <n v="2"/>
    <m/>
    <m/>
    <m/>
    <m/>
    <x v="85"/>
    <m/>
    <m/>
  </r>
  <r>
    <m/>
    <x v="36"/>
    <x v="5"/>
    <s v="Bessie + Mína"/>
    <n v="2"/>
    <m/>
    <n v="1"/>
    <m/>
    <m/>
    <n v="1"/>
    <m/>
    <m/>
    <m/>
    <m/>
    <x v="86"/>
    <m/>
    <s v="https://mapy.cz/s/3p0mF "/>
  </r>
  <r>
    <m/>
    <x v="36"/>
    <x v="11"/>
    <s v="Beky"/>
    <n v="3"/>
    <m/>
    <n v="1"/>
    <m/>
    <m/>
    <n v="2"/>
    <m/>
    <m/>
    <m/>
    <m/>
    <x v="87"/>
    <m/>
    <m/>
  </r>
  <r>
    <m/>
    <x v="36"/>
    <x v="1"/>
    <s v="Čaky"/>
    <n v="1"/>
    <m/>
    <m/>
    <m/>
    <m/>
    <n v="1"/>
    <m/>
    <m/>
    <m/>
    <m/>
    <x v="88"/>
    <m/>
    <m/>
  </r>
  <r>
    <m/>
    <x v="37"/>
    <x v="2"/>
    <s v="Lara"/>
    <n v="1"/>
    <m/>
    <m/>
    <m/>
    <m/>
    <n v="1"/>
    <m/>
    <m/>
    <m/>
    <m/>
    <x v="89"/>
    <m/>
    <m/>
  </r>
  <r>
    <m/>
    <x v="37"/>
    <x v="20"/>
    <s v="Baron"/>
    <n v="3"/>
    <m/>
    <n v="3"/>
    <m/>
    <m/>
    <m/>
    <m/>
    <m/>
    <m/>
    <m/>
    <x v="90"/>
    <m/>
    <m/>
  </r>
  <r>
    <m/>
    <x v="38"/>
    <x v="2"/>
    <s v="Lara"/>
    <n v="3"/>
    <m/>
    <m/>
    <m/>
    <n v="3"/>
    <m/>
    <m/>
    <m/>
    <m/>
    <m/>
    <x v="91"/>
    <m/>
    <m/>
  </r>
  <r>
    <m/>
    <x v="39"/>
    <x v="5"/>
    <s v="Bessie + Mína"/>
    <n v="1"/>
    <m/>
    <m/>
    <m/>
    <m/>
    <m/>
    <n v="1"/>
    <m/>
    <m/>
    <m/>
    <x v="92"/>
    <m/>
    <s v="https://mapy.cz/s/3p7Ol "/>
  </r>
  <r>
    <m/>
    <x v="39"/>
    <x v="22"/>
    <s v="Dea"/>
    <n v="1"/>
    <m/>
    <m/>
    <m/>
    <m/>
    <n v="1"/>
    <m/>
    <m/>
    <m/>
    <m/>
    <x v="93"/>
    <m/>
    <m/>
  </r>
  <r>
    <m/>
    <x v="39"/>
    <x v="9"/>
    <s v="Chilli"/>
    <n v="5"/>
    <m/>
    <m/>
    <m/>
    <m/>
    <n v="5"/>
    <m/>
    <m/>
    <m/>
    <m/>
    <x v="94"/>
    <m/>
    <m/>
  </r>
  <r>
    <m/>
    <x v="39"/>
    <x v="23"/>
    <s v="Denis"/>
    <n v="1"/>
    <m/>
    <n v="1"/>
    <m/>
    <m/>
    <m/>
    <m/>
    <m/>
    <m/>
    <m/>
    <x v="95"/>
    <m/>
    <m/>
  </r>
  <r>
    <m/>
    <x v="40"/>
    <x v="9"/>
    <s v="Chilli"/>
    <n v="4"/>
    <m/>
    <m/>
    <n v="1"/>
    <m/>
    <n v="3"/>
    <m/>
    <m/>
    <m/>
    <m/>
    <x v="96"/>
    <m/>
    <m/>
  </r>
  <r>
    <m/>
    <x v="41"/>
    <x v="0"/>
    <s v="Abigail"/>
    <n v="2"/>
    <m/>
    <n v="1"/>
    <n v="1"/>
    <m/>
    <m/>
    <m/>
    <m/>
    <m/>
    <m/>
    <x v="97"/>
    <m/>
    <m/>
  </r>
  <r>
    <m/>
    <x v="41"/>
    <x v="11"/>
    <s v="Beky"/>
    <n v="2"/>
    <m/>
    <n v="1"/>
    <n v="1"/>
    <m/>
    <m/>
    <m/>
    <m/>
    <m/>
    <m/>
    <x v="97"/>
    <m/>
    <m/>
  </r>
  <r>
    <m/>
    <x v="41"/>
    <x v="24"/>
    <s v="Ble+Ced+Abe"/>
    <n v="1"/>
    <m/>
    <m/>
    <m/>
    <m/>
    <n v="1"/>
    <m/>
    <m/>
    <m/>
    <m/>
    <x v="98"/>
    <m/>
    <m/>
  </r>
  <r>
    <m/>
    <x v="41"/>
    <x v="20"/>
    <s v="Baron"/>
    <n v="3"/>
    <m/>
    <n v="1"/>
    <m/>
    <m/>
    <n v="1"/>
    <n v="1"/>
    <m/>
    <m/>
    <m/>
    <x v="99"/>
    <m/>
    <m/>
  </r>
  <r>
    <m/>
    <x v="41"/>
    <x v="2"/>
    <s v="Lara"/>
    <n v="5"/>
    <m/>
    <m/>
    <n v="1"/>
    <n v="4"/>
    <m/>
    <m/>
    <m/>
    <m/>
    <m/>
    <x v="100"/>
    <m/>
    <m/>
  </r>
  <r>
    <m/>
    <x v="41"/>
    <x v="2"/>
    <s v="Lara"/>
    <n v="4"/>
    <m/>
    <m/>
    <m/>
    <n v="3"/>
    <n v="1"/>
    <m/>
    <m/>
    <m/>
    <m/>
    <x v="101"/>
    <m/>
    <m/>
  </r>
  <r>
    <m/>
    <x v="41"/>
    <x v="13"/>
    <s v="Holly"/>
    <n v="1"/>
    <m/>
    <m/>
    <n v="1"/>
    <m/>
    <m/>
    <m/>
    <m/>
    <m/>
    <m/>
    <x v="102"/>
    <m/>
    <s v="https://mapy.cz/s/3sbYP"/>
  </r>
  <r>
    <m/>
    <x v="41"/>
    <x v="1"/>
    <s v="Čaky"/>
    <n v="1"/>
    <m/>
    <m/>
    <m/>
    <m/>
    <n v="1"/>
    <m/>
    <m/>
    <m/>
    <m/>
    <x v="103"/>
    <m/>
    <m/>
  </r>
  <r>
    <m/>
    <x v="41"/>
    <x v="25"/>
    <s v="Iber"/>
    <n v="1"/>
    <m/>
    <m/>
    <m/>
    <m/>
    <n v="1"/>
    <m/>
    <m/>
    <m/>
    <m/>
    <x v="104"/>
    <m/>
    <m/>
  </r>
  <r>
    <m/>
    <x v="41"/>
    <x v="5"/>
    <s v="Bessie + Mína"/>
    <n v="2"/>
    <m/>
    <n v="1"/>
    <n v="1"/>
    <m/>
    <m/>
    <m/>
    <m/>
    <m/>
    <m/>
    <x v="97"/>
    <m/>
    <m/>
  </r>
  <r>
    <m/>
    <x v="41"/>
    <x v="26"/>
    <s v="Ali"/>
    <n v="1"/>
    <m/>
    <n v="1"/>
    <m/>
    <m/>
    <m/>
    <m/>
    <m/>
    <m/>
    <m/>
    <x v="105"/>
    <m/>
    <m/>
  </r>
  <r>
    <m/>
    <x v="42"/>
    <x v="22"/>
    <s v="Dea"/>
    <n v="1"/>
    <m/>
    <m/>
    <m/>
    <m/>
    <n v="1"/>
    <m/>
    <m/>
    <m/>
    <m/>
    <x v="106"/>
    <m/>
    <m/>
  </r>
  <r>
    <m/>
    <x v="42"/>
    <x v="27"/>
    <s v="Bára"/>
    <n v="1"/>
    <m/>
    <m/>
    <m/>
    <m/>
    <m/>
    <n v="1"/>
    <m/>
    <m/>
    <m/>
    <x v="107"/>
    <m/>
    <m/>
  </r>
  <r>
    <m/>
    <x v="42"/>
    <x v="16"/>
    <s v="Art"/>
    <n v="2"/>
    <m/>
    <m/>
    <m/>
    <m/>
    <m/>
    <n v="1"/>
    <n v="1"/>
    <m/>
    <m/>
    <x v="108"/>
    <m/>
    <m/>
  </r>
  <r>
    <m/>
    <x v="42"/>
    <x v="1"/>
    <s v="Čaky"/>
    <n v="5"/>
    <m/>
    <m/>
    <m/>
    <m/>
    <n v="2"/>
    <n v="3"/>
    <m/>
    <m/>
    <m/>
    <x v="109"/>
    <m/>
    <m/>
  </r>
  <r>
    <m/>
    <x v="42"/>
    <x v="1"/>
    <s v="Čaky"/>
    <n v="2"/>
    <m/>
    <n v="1"/>
    <n v="1"/>
    <m/>
    <m/>
    <m/>
    <m/>
    <m/>
    <m/>
    <x v="110"/>
    <m/>
    <m/>
  </r>
  <r>
    <m/>
    <x v="42"/>
    <x v="10"/>
    <s v="Lája + Bianca"/>
    <n v="6"/>
    <m/>
    <n v="1"/>
    <m/>
    <m/>
    <n v="4"/>
    <n v="1"/>
    <m/>
    <m/>
    <m/>
    <x v="111"/>
    <m/>
    <m/>
  </r>
  <r>
    <m/>
    <x v="43"/>
    <x v="3"/>
    <s v="Cíňa + Lestie"/>
    <n v="1"/>
    <m/>
    <m/>
    <m/>
    <m/>
    <n v="1"/>
    <m/>
    <m/>
    <m/>
    <m/>
    <x v="112"/>
    <m/>
    <m/>
  </r>
  <r>
    <m/>
    <x v="44"/>
    <x v="1"/>
    <s v="Čaky"/>
    <n v="2"/>
    <m/>
    <n v="1"/>
    <m/>
    <m/>
    <m/>
    <n v="1"/>
    <m/>
    <m/>
    <m/>
    <x v="113"/>
    <m/>
    <m/>
  </r>
  <r>
    <m/>
    <x v="44"/>
    <x v="5"/>
    <s v="Bessie + Mína"/>
    <n v="3"/>
    <m/>
    <m/>
    <n v="2"/>
    <m/>
    <m/>
    <n v="1"/>
    <m/>
    <m/>
    <m/>
    <x v="114"/>
    <m/>
    <s v="https://mapy.cz/s/3pkqB"/>
  </r>
  <r>
    <m/>
    <x v="45"/>
    <x v="2"/>
    <s v="Lara"/>
    <n v="4"/>
    <m/>
    <n v="1"/>
    <m/>
    <m/>
    <n v="3"/>
    <m/>
    <m/>
    <m/>
    <m/>
    <x v="115"/>
    <m/>
    <m/>
  </r>
  <r>
    <m/>
    <x v="45"/>
    <x v="0"/>
    <s v="Abigail"/>
    <n v="1"/>
    <n v="1"/>
    <m/>
    <m/>
    <m/>
    <m/>
    <m/>
    <m/>
    <m/>
    <m/>
    <x v="116"/>
    <m/>
    <m/>
  </r>
  <r>
    <m/>
    <x v="46"/>
    <x v="10"/>
    <s v="Lája + Bianca"/>
    <n v="4"/>
    <m/>
    <m/>
    <m/>
    <m/>
    <n v="1"/>
    <n v="3"/>
    <m/>
    <m/>
    <m/>
    <x v="117"/>
    <m/>
    <m/>
  </r>
  <r>
    <m/>
    <x v="46"/>
    <x v="2"/>
    <s v="Lara"/>
    <n v="1"/>
    <m/>
    <m/>
    <m/>
    <m/>
    <n v="1"/>
    <m/>
    <m/>
    <m/>
    <m/>
    <x v="118"/>
    <m/>
    <m/>
  </r>
  <r>
    <m/>
    <x v="47"/>
    <x v="5"/>
    <s v="Bessie + Mína"/>
    <n v="3"/>
    <m/>
    <n v="1"/>
    <m/>
    <m/>
    <n v="2"/>
    <m/>
    <m/>
    <m/>
    <m/>
    <x v="119"/>
    <m/>
    <s v="https://mapy.cz/s/3pziZ"/>
  </r>
  <r>
    <m/>
    <x v="48"/>
    <x v="28"/>
    <s v="Hugo"/>
    <n v="1"/>
    <m/>
    <m/>
    <m/>
    <m/>
    <m/>
    <m/>
    <n v="1"/>
    <m/>
    <m/>
    <x v="120"/>
    <m/>
    <m/>
  </r>
  <r>
    <m/>
    <x v="48"/>
    <x v="18"/>
    <s v="Gimi"/>
    <n v="1"/>
    <m/>
    <m/>
    <m/>
    <m/>
    <m/>
    <n v="1"/>
    <m/>
    <m/>
    <m/>
    <x v="121"/>
    <m/>
    <m/>
  </r>
  <r>
    <m/>
    <x v="48"/>
    <x v="5"/>
    <s v="Bessie + Mína"/>
    <n v="2"/>
    <m/>
    <n v="1"/>
    <m/>
    <m/>
    <n v="1"/>
    <m/>
    <m/>
    <m/>
    <m/>
    <x v="122"/>
    <m/>
    <m/>
  </r>
  <r>
    <m/>
    <x v="48"/>
    <x v="1"/>
    <s v="Čaky"/>
    <n v="4"/>
    <m/>
    <n v="1"/>
    <n v="1"/>
    <m/>
    <n v="1"/>
    <n v="1"/>
    <m/>
    <m/>
    <m/>
    <x v="123"/>
    <m/>
    <m/>
  </r>
  <r>
    <m/>
    <x v="48"/>
    <x v="10"/>
    <s v="Lája + Bianca"/>
    <n v="3"/>
    <m/>
    <m/>
    <m/>
    <m/>
    <n v="2"/>
    <m/>
    <m/>
    <m/>
    <n v="1"/>
    <x v="124"/>
    <m/>
    <m/>
  </r>
  <r>
    <m/>
    <x v="48"/>
    <x v="9"/>
    <s v="Chilli"/>
    <n v="1"/>
    <m/>
    <m/>
    <m/>
    <m/>
    <n v="1"/>
    <m/>
    <m/>
    <m/>
    <m/>
    <x v="125"/>
    <m/>
    <m/>
  </r>
  <r>
    <m/>
    <x v="49"/>
    <x v="27"/>
    <s v="Bára"/>
    <n v="3"/>
    <m/>
    <n v="1"/>
    <m/>
    <m/>
    <n v="1"/>
    <n v="1"/>
    <m/>
    <m/>
    <m/>
    <x v="126"/>
    <m/>
    <m/>
  </r>
  <r>
    <m/>
    <x v="49"/>
    <x v="28"/>
    <s v="Hugo"/>
    <n v="1"/>
    <m/>
    <m/>
    <m/>
    <m/>
    <n v="1"/>
    <m/>
    <m/>
    <m/>
    <m/>
    <x v="127"/>
    <m/>
    <m/>
  </r>
  <r>
    <m/>
    <x v="49"/>
    <x v="9"/>
    <s v="Chilli"/>
    <n v="1"/>
    <m/>
    <m/>
    <m/>
    <m/>
    <m/>
    <m/>
    <m/>
    <n v="1"/>
    <m/>
    <x v="73"/>
    <m/>
    <m/>
  </r>
  <r>
    <m/>
    <x v="49"/>
    <x v="5"/>
    <s v="Bessie + Mína"/>
    <n v="4"/>
    <m/>
    <m/>
    <n v="1"/>
    <m/>
    <n v="2"/>
    <n v="1"/>
    <m/>
    <m/>
    <m/>
    <x v="128"/>
    <m/>
    <s v="https://mapy.cz/s/3pzjt"/>
  </r>
  <r>
    <m/>
    <x v="49"/>
    <x v="14"/>
    <s v="Bigi"/>
    <n v="1"/>
    <m/>
    <m/>
    <m/>
    <m/>
    <n v="1"/>
    <m/>
    <m/>
    <m/>
    <m/>
    <x v="129"/>
    <m/>
    <m/>
  </r>
  <r>
    <m/>
    <x v="49"/>
    <x v="8"/>
    <s v="Tara"/>
    <n v="1"/>
    <m/>
    <m/>
    <m/>
    <m/>
    <n v="1"/>
    <m/>
    <m/>
    <m/>
    <m/>
    <x v="104"/>
    <m/>
    <m/>
  </r>
  <r>
    <m/>
    <x v="49"/>
    <x v="20"/>
    <s v="Baron"/>
    <n v="3"/>
    <m/>
    <n v="3"/>
    <m/>
    <m/>
    <m/>
    <m/>
    <m/>
    <m/>
    <m/>
    <x v="130"/>
    <m/>
    <m/>
  </r>
  <r>
    <m/>
    <x v="49"/>
    <x v="28"/>
    <s v="Hugo"/>
    <n v="1"/>
    <m/>
    <m/>
    <m/>
    <m/>
    <n v="1"/>
    <m/>
    <m/>
    <m/>
    <m/>
    <x v="131"/>
    <m/>
    <m/>
  </r>
  <r>
    <m/>
    <x v="49"/>
    <x v="12"/>
    <s v="Bara"/>
    <n v="5"/>
    <m/>
    <m/>
    <m/>
    <m/>
    <n v="5"/>
    <m/>
    <m/>
    <m/>
    <m/>
    <x v="132"/>
    <m/>
    <m/>
  </r>
  <r>
    <m/>
    <x v="49"/>
    <x v="12"/>
    <s v="Bara"/>
    <n v="5"/>
    <m/>
    <m/>
    <n v="1"/>
    <n v="1"/>
    <n v="2"/>
    <m/>
    <n v="1"/>
    <m/>
    <m/>
    <x v="133"/>
    <m/>
    <m/>
  </r>
  <r>
    <m/>
    <x v="49"/>
    <x v="22"/>
    <s v="Dea"/>
    <n v="5"/>
    <m/>
    <m/>
    <n v="1"/>
    <n v="2"/>
    <n v="2"/>
    <m/>
    <m/>
    <m/>
    <m/>
    <x v="134"/>
    <m/>
    <m/>
  </r>
  <r>
    <m/>
    <x v="49"/>
    <x v="19"/>
    <s v="Rory"/>
    <n v="1"/>
    <m/>
    <m/>
    <m/>
    <m/>
    <n v="1"/>
    <m/>
    <m/>
    <m/>
    <m/>
    <x v="125"/>
    <m/>
    <m/>
  </r>
  <r>
    <m/>
    <x v="50"/>
    <x v="20"/>
    <s v="Baron"/>
    <n v="1"/>
    <m/>
    <m/>
    <m/>
    <m/>
    <m/>
    <n v="1"/>
    <m/>
    <m/>
    <m/>
    <x v="135"/>
    <m/>
    <m/>
  </r>
  <r>
    <m/>
    <x v="50"/>
    <x v="25"/>
    <s v="Iber"/>
    <n v="1"/>
    <m/>
    <m/>
    <m/>
    <m/>
    <m/>
    <n v="1"/>
    <m/>
    <m/>
    <m/>
    <x v="136"/>
    <m/>
    <m/>
  </r>
  <r>
    <m/>
    <x v="51"/>
    <x v="3"/>
    <s v="Cíňa + Lestie"/>
    <n v="1"/>
    <m/>
    <m/>
    <m/>
    <m/>
    <m/>
    <m/>
    <n v="1"/>
    <m/>
    <m/>
    <x v="137"/>
    <m/>
    <m/>
  </r>
  <r>
    <m/>
    <x v="51"/>
    <x v="25"/>
    <s v="Iber"/>
    <n v="1"/>
    <m/>
    <m/>
    <m/>
    <m/>
    <n v="1"/>
    <m/>
    <m/>
    <m/>
    <m/>
    <x v="138"/>
    <m/>
    <m/>
  </r>
  <r>
    <m/>
    <x v="52"/>
    <x v="10"/>
    <s v="Lája + Bianca"/>
    <n v="5"/>
    <m/>
    <m/>
    <m/>
    <m/>
    <m/>
    <n v="3"/>
    <n v="2"/>
    <m/>
    <m/>
    <x v="139"/>
    <m/>
    <m/>
  </r>
  <r>
    <m/>
    <x v="53"/>
    <x v="28"/>
    <s v="Hugo"/>
    <n v="1"/>
    <m/>
    <n v="1"/>
    <m/>
    <m/>
    <m/>
    <m/>
    <m/>
    <m/>
    <m/>
    <x v="140"/>
    <m/>
    <m/>
  </r>
  <r>
    <m/>
    <x v="53"/>
    <x v="20"/>
    <s v="Baron"/>
    <n v="2"/>
    <m/>
    <m/>
    <m/>
    <m/>
    <n v="2"/>
    <m/>
    <m/>
    <m/>
    <m/>
    <x v="141"/>
    <m/>
    <m/>
  </r>
  <r>
    <m/>
    <x v="54"/>
    <x v="5"/>
    <s v="Bessie + Mína"/>
    <n v="4"/>
    <m/>
    <n v="2"/>
    <n v="1"/>
    <m/>
    <n v="1"/>
    <m/>
    <m/>
    <m/>
    <m/>
    <x v="142"/>
    <m/>
    <s v="https://mapy.cz/s/3pDgJ"/>
  </r>
  <r>
    <m/>
    <x v="54"/>
    <x v="29"/>
    <s v="Deli"/>
    <n v="4"/>
    <m/>
    <n v="2"/>
    <n v="1"/>
    <m/>
    <n v="1"/>
    <m/>
    <m/>
    <m/>
    <m/>
    <x v="142"/>
    <m/>
    <m/>
  </r>
  <r>
    <m/>
    <x v="54"/>
    <x v="1"/>
    <s v="Čaky"/>
    <n v="1"/>
    <m/>
    <m/>
    <m/>
    <m/>
    <n v="1"/>
    <m/>
    <m/>
    <m/>
    <m/>
    <x v="143"/>
    <m/>
    <m/>
  </r>
  <r>
    <m/>
    <x v="54"/>
    <x v="13"/>
    <s v="Holly"/>
    <n v="2"/>
    <m/>
    <m/>
    <m/>
    <m/>
    <n v="1"/>
    <n v="1"/>
    <m/>
    <m/>
    <m/>
    <x v="144"/>
    <m/>
    <s v="https://mapy.cz/s/3sbYv"/>
  </r>
  <r>
    <m/>
    <x v="54"/>
    <x v="16"/>
    <s v="Art"/>
    <n v="3"/>
    <m/>
    <m/>
    <m/>
    <m/>
    <n v="2"/>
    <m/>
    <n v="1"/>
    <m/>
    <m/>
    <x v="145"/>
    <m/>
    <m/>
  </r>
  <r>
    <m/>
    <x v="54"/>
    <x v="14"/>
    <s v="Bigi"/>
    <n v="3"/>
    <m/>
    <m/>
    <m/>
    <m/>
    <n v="1"/>
    <n v="2"/>
    <m/>
    <m/>
    <m/>
    <x v="146"/>
    <m/>
    <m/>
  </r>
  <r>
    <m/>
    <x v="54"/>
    <x v="22"/>
    <s v="Dea"/>
    <n v="3"/>
    <m/>
    <m/>
    <m/>
    <m/>
    <n v="1"/>
    <n v="2"/>
    <m/>
    <m/>
    <m/>
    <x v="147"/>
    <m/>
    <m/>
  </r>
  <r>
    <m/>
    <x v="54"/>
    <x v="9"/>
    <s v="Chilli"/>
    <n v="3"/>
    <m/>
    <m/>
    <m/>
    <m/>
    <n v="2"/>
    <n v="1"/>
    <m/>
    <m/>
    <m/>
    <x v="148"/>
    <m/>
    <m/>
  </r>
  <r>
    <m/>
    <x v="54"/>
    <x v="10"/>
    <s v="Lája + Bianca"/>
    <n v="2"/>
    <m/>
    <m/>
    <m/>
    <m/>
    <n v="1"/>
    <n v="1"/>
    <m/>
    <m/>
    <m/>
    <x v="149"/>
    <m/>
    <m/>
  </r>
  <r>
    <m/>
    <x v="54"/>
    <x v="30"/>
    <s v="Hugo"/>
    <n v="5"/>
    <m/>
    <n v="2"/>
    <m/>
    <m/>
    <n v="2"/>
    <m/>
    <m/>
    <n v="1"/>
    <m/>
    <x v="150"/>
    <m/>
    <m/>
  </r>
  <r>
    <m/>
    <x v="54"/>
    <x v="8"/>
    <s v="Tara"/>
    <n v="1"/>
    <m/>
    <m/>
    <m/>
    <m/>
    <m/>
    <n v="1"/>
    <m/>
    <m/>
    <m/>
    <x v="151"/>
    <m/>
    <m/>
  </r>
  <r>
    <m/>
    <x v="55"/>
    <x v="5"/>
    <s v="Bessie + Mína"/>
    <n v="2"/>
    <m/>
    <m/>
    <m/>
    <m/>
    <n v="2"/>
    <m/>
    <m/>
    <m/>
    <m/>
    <x v="152"/>
    <m/>
    <m/>
  </r>
  <r>
    <m/>
    <x v="56"/>
    <x v="0"/>
    <s v="Abigail"/>
    <n v="2"/>
    <m/>
    <m/>
    <n v="1"/>
    <m/>
    <n v="1"/>
    <m/>
    <m/>
    <m/>
    <m/>
    <x v="153"/>
    <m/>
    <m/>
  </r>
  <r>
    <m/>
    <x v="57"/>
    <x v="20"/>
    <s v="Baron"/>
    <n v="3"/>
    <m/>
    <n v="1"/>
    <m/>
    <m/>
    <n v="2"/>
    <m/>
    <m/>
    <m/>
    <m/>
    <x v="154"/>
    <m/>
    <m/>
  </r>
  <r>
    <m/>
    <x v="57"/>
    <x v="5"/>
    <s v="Bessie + Mína"/>
    <n v="3"/>
    <m/>
    <n v="1"/>
    <m/>
    <m/>
    <n v="1"/>
    <n v="1"/>
    <m/>
    <m/>
    <m/>
    <x v="155"/>
    <m/>
    <s v="https://mapy.cz/s/3pLEy"/>
  </r>
  <r>
    <m/>
    <x v="58"/>
    <x v="28"/>
    <s v="Hugo"/>
    <n v="1"/>
    <m/>
    <m/>
    <n v="1"/>
    <m/>
    <m/>
    <m/>
    <m/>
    <m/>
    <m/>
    <x v="156"/>
    <m/>
    <m/>
  </r>
  <r>
    <m/>
    <x v="58"/>
    <x v="31"/>
    <s v="Cejlí"/>
    <n v="1"/>
    <m/>
    <m/>
    <n v="1"/>
    <m/>
    <m/>
    <m/>
    <m/>
    <m/>
    <m/>
    <x v="157"/>
    <m/>
    <m/>
  </r>
  <r>
    <m/>
    <x v="58"/>
    <x v="10"/>
    <s v="Lája + Bianca"/>
    <n v="1"/>
    <m/>
    <m/>
    <m/>
    <m/>
    <m/>
    <n v="1"/>
    <m/>
    <m/>
    <m/>
    <x v="158"/>
    <m/>
    <m/>
  </r>
  <r>
    <m/>
    <x v="58"/>
    <x v="32"/>
    <s v="Bety + Mia"/>
    <n v="2"/>
    <m/>
    <m/>
    <m/>
    <m/>
    <n v="1"/>
    <m/>
    <m/>
    <m/>
    <n v="1"/>
    <x v="17"/>
    <m/>
    <m/>
  </r>
  <r>
    <m/>
    <x v="58"/>
    <x v="16"/>
    <s v="Art"/>
    <n v="2"/>
    <m/>
    <m/>
    <m/>
    <m/>
    <n v="1"/>
    <n v="1"/>
    <m/>
    <m/>
    <m/>
    <x v="159"/>
    <m/>
    <m/>
  </r>
  <r>
    <m/>
    <x v="58"/>
    <x v="7"/>
    <s v="Argo"/>
    <n v="1"/>
    <m/>
    <m/>
    <m/>
    <m/>
    <m/>
    <n v="1"/>
    <m/>
    <m/>
    <m/>
    <x v="158"/>
    <m/>
    <m/>
  </r>
  <r>
    <m/>
    <x v="59"/>
    <x v="5"/>
    <s v="Bessie + Mína"/>
    <n v="1"/>
    <m/>
    <m/>
    <n v="1"/>
    <m/>
    <m/>
    <m/>
    <m/>
    <m/>
    <m/>
    <x v="160"/>
    <m/>
    <s v="https://mapy.cz/s/3pQvu "/>
  </r>
  <r>
    <m/>
    <x v="59"/>
    <x v="28"/>
    <s v="Hugo"/>
    <n v="2"/>
    <m/>
    <m/>
    <m/>
    <m/>
    <n v="1"/>
    <m/>
    <m/>
    <m/>
    <n v="1"/>
    <x v="17"/>
    <m/>
    <m/>
  </r>
  <r>
    <m/>
    <x v="59"/>
    <x v="33"/>
    <s v="Matouš"/>
    <n v="3"/>
    <m/>
    <m/>
    <m/>
    <m/>
    <n v="1"/>
    <n v="2"/>
    <m/>
    <m/>
    <m/>
    <x v="161"/>
    <m/>
    <m/>
  </r>
  <r>
    <m/>
    <x v="59"/>
    <x v="20"/>
    <s v="Baron"/>
    <n v="1"/>
    <m/>
    <m/>
    <n v="1"/>
    <m/>
    <m/>
    <m/>
    <m/>
    <m/>
    <m/>
    <x v="162"/>
    <m/>
    <m/>
  </r>
  <r>
    <m/>
    <x v="59"/>
    <x v="10"/>
    <s v="Lája + Bianca"/>
    <n v="6"/>
    <m/>
    <n v="1"/>
    <n v="1"/>
    <m/>
    <m/>
    <n v="2"/>
    <n v="2"/>
    <m/>
    <m/>
    <x v="163"/>
    <m/>
    <m/>
  </r>
  <r>
    <m/>
    <x v="59"/>
    <x v="1"/>
    <s v="Čaky"/>
    <n v="5"/>
    <m/>
    <m/>
    <m/>
    <n v="5"/>
    <m/>
    <m/>
    <m/>
    <m/>
    <m/>
    <x v="164"/>
    <m/>
    <m/>
  </r>
  <r>
    <m/>
    <x v="59"/>
    <x v="22"/>
    <s v="Dea"/>
    <n v="2"/>
    <m/>
    <m/>
    <m/>
    <m/>
    <n v="2"/>
    <m/>
    <m/>
    <m/>
    <m/>
    <x v="165"/>
    <m/>
    <m/>
  </r>
  <r>
    <m/>
    <x v="59"/>
    <x v="12"/>
    <s v="Bara"/>
    <n v="1"/>
    <m/>
    <m/>
    <m/>
    <n v="1"/>
    <m/>
    <m/>
    <m/>
    <m/>
    <m/>
    <x v="166"/>
    <m/>
    <m/>
  </r>
  <r>
    <m/>
    <x v="59"/>
    <x v="4"/>
    <s v="Ája"/>
    <n v="1"/>
    <m/>
    <m/>
    <m/>
    <m/>
    <n v="1"/>
    <m/>
    <m/>
    <m/>
    <m/>
    <x v="167"/>
    <m/>
    <m/>
  </r>
  <r>
    <m/>
    <x v="60"/>
    <x v="5"/>
    <s v="Bessie + Mína"/>
    <n v="3"/>
    <m/>
    <m/>
    <m/>
    <m/>
    <n v="2"/>
    <n v="1"/>
    <m/>
    <m/>
    <m/>
    <x v="168"/>
    <m/>
    <s v="https://mapy.cz/s/3pUMR "/>
  </r>
  <r>
    <m/>
    <x v="61"/>
    <x v="17"/>
    <s v="Sid"/>
    <n v="1"/>
    <m/>
    <m/>
    <m/>
    <m/>
    <m/>
    <n v="1"/>
    <m/>
    <m/>
    <m/>
    <x v="25"/>
    <m/>
    <m/>
  </r>
  <r>
    <m/>
    <x v="61"/>
    <x v="4"/>
    <s v="Ája"/>
    <n v="1"/>
    <m/>
    <m/>
    <n v="1"/>
    <m/>
    <m/>
    <m/>
    <m/>
    <m/>
    <m/>
    <x v="160"/>
    <m/>
    <m/>
  </r>
  <r>
    <m/>
    <x v="62"/>
    <x v="1"/>
    <s v="Čaky"/>
    <n v="1"/>
    <m/>
    <m/>
    <m/>
    <n v="1"/>
    <m/>
    <m/>
    <m/>
    <m/>
    <m/>
    <x v="169"/>
    <m/>
    <m/>
  </r>
  <r>
    <m/>
    <x v="62"/>
    <x v="14"/>
    <s v="Bigi"/>
    <n v="2"/>
    <m/>
    <m/>
    <n v="1"/>
    <m/>
    <m/>
    <n v="1"/>
    <m/>
    <m/>
    <m/>
    <x v="170"/>
    <m/>
    <m/>
  </r>
  <r>
    <m/>
    <x v="62"/>
    <x v="20"/>
    <s v="Baron"/>
    <n v="1"/>
    <m/>
    <n v="1"/>
    <m/>
    <m/>
    <m/>
    <m/>
    <m/>
    <m/>
    <m/>
    <x v="171"/>
    <m/>
    <m/>
  </r>
  <r>
    <m/>
    <x v="63"/>
    <x v="28"/>
    <s v="Hugo"/>
    <n v="1"/>
    <m/>
    <m/>
    <m/>
    <m/>
    <m/>
    <m/>
    <n v="1"/>
    <m/>
    <m/>
    <x v="172"/>
    <m/>
    <m/>
  </r>
  <r>
    <m/>
    <x v="64"/>
    <x v="22"/>
    <s v="Dea"/>
    <n v="4"/>
    <m/>
    <n v="1"/>
    <m/>
    <m/>
    <n v="3"/>
    <m/>
    <m/>
    <m/>
    <m/>
    <x v="173"/>
    <m/>
    <m/>
  </r>
  <r>
    <m/>
    <x v="64"/>
    <x v="4"/>
    <s v="Ája"/>
    <n v="3"/>
    <m/>
    <n v="1"/>
    <n v="1"/>
    <m/>
    <n v="1"/>
    <m/>
    <m/>
    <m/>
    <m/>
    <x v="174"/>
    <m/>
    <m/>
  </r>
  <r>
    <m/>
    <x v="64"/>
    <x v="10"/>
    <s v="Lája + Bianca"/>
    <n v="5"/>
    <m/>
    <m/>
    <n v="1"/>
    <n v="3"/>
    <n v="1"/>
    <m/>
    <m/>
    <m/>
    <m/>
    <x v="175"/>
    <m/>
    <m/>
  </r>
  <r>
    <m/>
    <x v="64"/>
    <x v="18"/>
    <s v="Gimi"/>
    <n v="4"/>
    <n v="1"/>
    <m/>
    <m/>
    <n v="1"/>
    <n v="2"/>
    <m/>
    <m/>
    <m/>
    <m/>
    <x v="176"/>
    <m/>
    <m/>
  </r>
  <r>
    <m/>
    <x v="64"/>
    <x v="34"/>
    <s v="Lex"/>
    <n v="2"/>
    <m/>
    <n v="1"/>
    <m/>
    <m/>
    <m/>
    <m/>
    <n v="1"/>
    <m/>
    <m/>
    <x v="177"/>
    <m/>
    <m/>
  </r>
  <r>
    <m/>
    <x v="64"/>
    <x v="1"/>
    <s v="Čaky"/>
    <n v="4"/>
    <m/>
    <m/>
    <m/>
    <m/>
    <n v="2"/>
    <n v="1"/>
    <n v="1"/>
    <m/>
    <m/>
    <x v="178"/>
    <m/>
    <m/>
  </r>
  <r>
    <m/>
    <x v="64"/>
    <x v="14"/>
    <s v="Bigi"/>
    <n v="1"/>
    <m/>
    <n v="1"/>
    <m/>
    <m/>
    <m/>
    <m/>
    <m/>
    <m/>
    <m/>
    <x v="171"/>
    <m/>
    <m/>
  </r>
  <r>
    <m/>
    <x v="64"/>
    <x v="11"/>
    <s v="Beky"/>
    <n v="1"/>
    <m/>
    <n v="1"/>
    <m/>
    <m/>
    <m/>
    <m/>
    <m/>
    <m/>
    <m/>
    <x v="179"/>
    <m/>
    <m/>
  </r>
  <r>
    <m/>
    <x v="64"/>
    <x v="5"/>
    <s v="Bessie + Mína"/>
    <n v="1"/>
    <m/>
    <n v="1"/>
    <m/>
    <m/>
    <m/>
    <m/>
    <m/>
    <m/>
    <m/>
    <x v="179"/>
    <m/>
    <s v="https://mapy.cz/s/3q3ip "/>
  </r>
  <r>
    <m/>
    <x v="64"/>
    <x v="16"/>
    <s v="Art"/>
    <n v="4"/>
    <m/>
    <m/>
    <n v="1"/>
    <m/>
    <n v="1"/>
    <n v="2"/>
    <m/>
    <m/>
    <m/>
    <x v="180"/>
    <m/>
    <m/>
  </r>
  <r>
    <m/>
    <x v="64"/>
    <x v="9"/>
    <s v="Chilli"/>
    <n v="3"/>
    <n v="1"/>
    <m/>
    <m/>
    <n v="1"/>
    <n v="1"/>
    <m/>
    <m/>
    <m/>
    <m/>
    <x v="181"/>
    <m/>
    <m/>
  </r>
  <r>
    <m/>
    <x v="65"/>
    <x v="28"/>
    <s v="Hugo"/>
    <n v="1"/>
    <m/>
    <m/>
    <m/>
    <m/>
    <m/>
    <n v="1"/>
    <m/>
    <m/>
    <m/>
    <x v="182"/>
    <m/>
    <m/>
  </r>
  <r>
    <m/>
    <x v="65"/>
    <x v="22"/>
    <s v="Dea"/>
    <n v="2"/>
    <m/>
    <m/>
    <m/>
    <m/>
    <n v="1"/>
    <n v="1"/>
    <m/>
    <m/>
    <m/>
    <x v="183"/>
    <m/>
    <m/>
  </r>
  <r>
    <m/>
    <x v="65"/>
    <x v="1"/>
    <s v="Čaky"/>
    <n v="5"/>
    <m/>
    <m/>
    <m/>
    <m/>
    <n v="5"/>
    <m/>
    <m/>
    <m/>
    <m/>
    <x v="184"/>
    <m/>
    <m/>
  </r>
  <r>
    <m/>
    <x v="65"/>
    <x v="17"/>
    <s v="Sid"/>
    <n v="1"/>
    <m/>
    <m/>
    <m/>
    <m/>
    <n v="1"/>
    <m/>
    <m/>
    <m/>
    <m/>
    <x v="185"/>
    <m/>
    <m/>
  </r>
  <r>
    <m/>
    <x v="65"/>
    <x v="35"/>
    <s v="Alík"/>
    <n v="1"/>
    <n v="1"/>
    <m/>
    <m/>
    <m/>
    <m/>
    <m/>
    <m/>
    <m/>
    <m/>
    <x v="186"/>
    <m/>
    <m/>
  </r>
  <r>
    <m/>
    <x v="65"/>
    <x v="31"/>
    <s v="Cejlí"/>
    <n v="1"/>
    <m/>
    <n v="1"/>
    <m/>
    <m/>
    <m/>
    <m/>
    <m/>
    <m/>
    <m/>
    <x v="187"/>
    <m/>
    <m/>
  </r>
  <r>
    <m/>
    <x v="66"/>
    <x v="23"/>
    <s v="Denis"/>
    <n v="1"/>
    <m/>
    <m/>
    <n v="1"/>
    <m/>
    <m/>
    <m/>
    <m/>
    <m/>
    <m/>
    <x v="188"/>
    <m/>
    <m/>
  </r>
  <r>
    <m/>
    <x v="67"/>
    <x v="8"/>
    <s v="Tara"/>
    <n v="1"/>
    <m/>
    <m/>
    <m/>
    <n v="1"/>
    <m/>
    <m/>
    <m/>
    <m/>
    <m/>
    <x v="189"/>
    <m/>
    <m/>
  </r>
  <r>
    <m/>
    <x v="68"/>
    <x v="18"/>
    <s v="Gimi"/>
    <n v="3"/>
    <m/>
    <n v="1"/>
    <m/>
    <m/>
    <n v="2"/>
    <m/>
    <m/>
    <m/>
    <m/>
    <x v="190"/>
    <m/>
    <m/>
  </r>
  <r>
    <m/>
    <x v="68"/>
    <x v="28"/>
    <s v="Hugo"/>
    <n v="1"/>
    <m/>
    <m/>
    <m/>
    <m/>
    <m/>
    <m/>
    <n v="1"/>
    <m/>
    <m/>
    <x v="191"/>
    <m/>
    <m/>
  </r>
  <r>
    <m/>
    <x v="69"/>
    <x v="18"/>
    <s v="Gimi"/>
    <n v="2"/>
    <m/>
    <m/>
    <m/>
    <m/>
    <n v="2"/>
    <m/>
    <m/>
    <m/>
    <m/>
    <x v="192"/>
    <m/>
    <m/>
  </r>
  <r>
    <m/>
    <x v="69"/>
    <x v="16"/>
    <s v="Art"/>
    <n v="3"/>
    <m/>
    <m/>
    <m/>
    <m/>
    <n v="2"/>
    <m/>
    <n v="1"/>
    <m/>
    <m/>
    <x v="193"/>
    <m/>
    <m/>
  </r>
  <r>
    <m/>
    <x v="69"/>
    <x v="20"/>
    <s v="Baron"/>
    <n v="1"/>
    <m/>
    <m/>
    <m/>
    <m/>
    <n v="1"/>
    <m/>
    <m/>
    <m/>
    <m/>
    <x v="194"/>
    <m/>
    <m/>
  </r>
  <r>
    <m/>
    <x v="69"/>
    <x v="9"/>
    <s v="Chilli"/>
    <n v="2"/>
    <m/>
    <m/>
    <m/>
    <m/>
    <n v="1"/>
    <n v="1"/>
    <m/>
    <m/>
    <m/>
    <x v="68"/>
    <m/>
    <m/>
  </r>
  <r>
    <m/>
    <x v="69"/>
    <x v="36"/>
    <s v="Alfons"/>
    <n v="2"/>
    <m/>
    <m/>
    <m/>
    <m/>
    <n v="1"/>
    <n v="1"/>
    <m/>
    <m/>
    <m/>
    <x v="68"/>
    <m/>
    <m/>
  </r>
  <r>
    <m/>
    <x v="69"/>
    <x v="10"/>
    <s v="Lája + Bianca"/>
    <n v="8"/>
    <m/>
    <m/>
    <m/>
    <m/>
    <n v="2"/>
    <n v="2"/>
    <n v="4"/>
    <m/>
    <m/>
    <x v="195"/>
    <m/>
    <m/>
  </r>
  <r>
    <m/>
    <x v="69"/>
    <x v="19"/>
    <s v="Rory"/>
    <n v="1"/>
    <m/>
    <m/>
    <m/>
    <m/>
    <n v="1"/>
    <m/>
    <m/>
    <m/>
    <m/>
    <x v="82"/>
    <m/>
    <m/>
  </r>
  <r>
    <m/>
    <x v="69"/>
    <x v="12"/>
    <s v="Bara"/>
    <n v="1"/>
    <m/>
    <m/>
    <m/>
    <m/>
    <n v="1"/>
    <m/>
    <m/>
    <m/>
    <m/>
    <x v="196"/>
    <m/>
    <m/>
  </r>
  <r>
    <m/>
    <x v="70"/>
    <x v="9"/>
    <s v="Chilli"/>
    <n v="1"/>
    <m/>
    <m/>
    <n v="1"/>
    <m/>
    <m/>
    <m/>
    <m/>
    <m/>
    <m/>
    <x v="162"/>
    <m/>
    <m/>
  </r>
  <r>
    <m/>
    <x v="70"/>
    <x v="14"/>
    <s v="Bigi"/>
    <n v="1"/>
    <m/>
    <m/>
    <n v="1"/>
    <m/>
    <m/>
    <m/>
    <m/>
    <m/>
    <m/>
    <x v="197"/>
    <m/>
    <m/>
  </r>
  <r>
    <m/>
    <x v="70"/>
    <x v="5"/>
    <s v="Bessie + Mína"/>
    <n v="1"/>
    <m/>
    <m/>
    <m/>
    <m/>
    <m/>
    <n v="1"/>
    <m/>
    <m/>
    <m/>
    <x v="198"/>
    <m/>
    <s v="https://mapy.cz/s/3qkKB "/>
  </r>
  <r>
    <m/>
    <x v="70"/>
    <x v="1"/>
    <s v="Čaky"/>
    <n v="2"/>
    <m/>
    <m/>
    <m/>
    <n v="2"/>
    <m/>
    <m/>
    <m/>
    <m/>
    <m/>
    <x v="199"/>
    <m/>
    <m/>
  </r>
  <r>
    <m/>
    <x v="70"/>
    <x v="31"/>
    <s v="Cejlí"/>
    <n v="2"/>
    <m/>
    <m/>
    <m/>
    <m/>
    <n v="2"/>
    <m/>
    <m/>
    <m/>
    <m/>
    <x v="200"/>
    <m/>
    <m/>
  </r>
  <r>
    <m/>
    <x v="70"/>
    <x v="36"/>
    <s v="Alfons"/>
    <n v="1"/>
    <m/>
    <m/>
    <m/>
    <m/>
    <n v="1"/>
    <m/>
    <m/>
    <m/>
    <m/>
    <x v="141"/>
    <m/>
    <m/>
  </r>
  <r>
    <m/>
    <x v="70"/>
    <x v="10"/>
    <s v="Lája + Bianca"/>
    <n v="3"/>
    <m/>
    <m/>
    <m/>
    <m/>
    <m/>
    <n v="2"/>
    <n v="1"/>
    <m/>
    <m/>
    <x v="201"/>
    <m/>
    <m/>
  </r>
  <r>
    <m/>
    <x v="70"/>
    <x v="25"/>
    <s v="Iber"/>
    <n v="1"/>
    <m/>
    <m/>
    <m/>
    <m/>
    <n v="1"/>
    <m/>
    <m/>
    <m/>
    <m/>
    <x v="202"/>
    <m/>
    <m/>
  </r>
  <r>
    <m/>
    <x v="71"/>
    <x v="23"/>
    <s v="Denis"/>
    <n v="1"/>
    <m/>
    <n v="1"/>
    <m/>
    <m/>
    <m/>
    <m/>
    <m/>
    <m/>
    <m/>
    <x v="3"/>
    <m/>
    <m/>
  </r>
  <r>
    <m/>
    <x v="72"/>
    <x v="19"/>
    <s v="Rory"/>
    <n v="1"/>
    <m/>
    <m/>
    <m/>
    <m/>
    <n v="1"/>
    <m/>
    <m/>
    <m/>
    <m/>
    <x v="18"/>
    <m/>
    <m/>
  </r>
  <r>
    <m/>
    <x v="72"/>
    <x v="16"/>
    <s v="Art"/>
    <n v="1"/>
    <m/>
    <m/>
    <m/>
    <m/>
    <m/>
    <n v="1"/>
    <m/>
    <m/>
    <m/>
    <x v="203"/>
    <m/>
    <m/>
  </r>
  <r>
    <m/>
    <x v="73"/>
    <x v="12"/>
    <s v="Bara"/>
    <n v="1"/>
    <m/>
    <m/>
    <m/>
    <m/>
    <m/>
    <n v="1"/>
    <m/>
    <m/>
    <m/>
    <x v="204"/>
    <m/>
    <m/>
  </r>
  <r>
    <m/>
    <x v="74"/>
    <x v="5"/>
    <s v="Bessie + Mína"/>
    <n v="1"/>
    <m/>
    <m/>
    <m/>
    <m/>
    <n v="1"/>
    <m/>
    <m/>
    <m/>
    <m/>
    <x v="205"/>
    <m/>
    <s v="https://mapy.cz/s/3qyW4 "/>
  </r>
  <r>
    <m/>
    <x v="74"/>
    <x v="31"/>
    <s v="Cejlí"/>
    <n v="2"/>
    <m/>
    <m/>
    <m/>
    <m/>
    <n v="1"/>
    <m/>
    <n v="1"/>
    <m/>
    <m/>
    <x v="206"/>
    <m/>
    <m/>
  </r>
  <r>
    <m/>
    <x v="74"/>
    <x v="11"/>
    <s v="Beky"/>
    <n v="2"/>
    <m/>
    <n v="1"/>
    <m/>
    <m/>
    <m/>
    <n v="1"/>
    <m/>
    <m/>
    <m/>
    <x v="207"/>
    <m/>
    <m/>
  </r>
  <r>
    <m/>
    <x v="74"/>
    <x v="0"/>
    <s v="Abigail"/>
    <n v="2"/>
    <m/>
    <n v="1"/>
    <m/>
    <m/>
    <m/>
    <n v="1"/>
    <m/>
    <m/>
    <m/>
    <x v="207"/>
    <m/>
    <m/>
  </r>
  <r>
    <m/>
    <x v="74"/>
    <x v="1"/>
    <s v="Čaky"/>
    <n v="4"/>
    <m/>
    <m/>
    <m/>
    <m/>
    <n v="3"/>
    <n v="1"/>
    <m/>
    <m/>
    <m/>
    <x v="208"/>
    <m/>
    <m/>
  </r>
  <r>
    <m/>
    <x v="74"/>
    <x v="33"/>
    <s v="Matouš"/>
    <n v="2"/>
    <m/>
    <m/>
    <m/>
    <m/>
    <n v="2"/>
    <m/>
    <m/>
    <m/>
    <m/>
    <x v="209"/>
    <m/>
    <m/>
  </r>
  <r>
    <m/>
    <x v="74"/>
    <x v="30"/>
    <s v="Hugo"/>
    <n v="2"/>
    <m/>
    <m/>
    <m/>
    <m/>
    <n v="1"/>
    <m/>
    <m/>
    <m/>
    <n v="1"/>
    <x v="17"/>
    <m/>
    <m/>
  </r>
  <r>
    <m/>
    <x v="75"/>
    <x v="16"/>
    <s v="Art"/>
    <n v="2"/>
    <m/>
    <m/>
    <m/>
    <m/>
    <n v="2"/>
    <m/>
    <m/>
    <m/>
    <m/>
    <x v="210"/>
    <m/>
    <m/>
  </r>
  <r>
    <m/>
    <x v="75"/>
    <x v="12"/>
    <s v="Bara"/>
    <n v="1"/>
    <m/>
    <m/>
    <m/>
    <m/>
    <m/>
    <m/>
    <n v="1"/>
    <m/>
    <m/>
    <x v="211"/>
    <m/>
    <m/>
  </r>
  <r>
    <m/>
    <x v="75"/>
    <x v="5"/>
    <s v="Bessie + Mína"/>
    <n v="5"/>
    <m/>
    <n v="4"/>
    <m/>
    <m/>
    <n v="1"/>
    <m/>
    <m/>
    <m/>
    <m/>
    <x v="212"/>
    <m/>
    <s v="https://mapy.cz/s/3qBEc "/>
  </r>
  <r>
    <m/>
    <x v="75"/>
    <x v="9"/>
    <s v="CHilli"/>
    <n v="2"/>
    <m/>
    <n v="1"/>
    <m/>
    <m/>
    <n v="1"/>
    <m/>
    <m/>
    <m/>
    <m/>
    <x v="213"/>
    <m/>
    <m/>
  </r>
  <r>
    <m/>
    <x v="75"/>
    <x v="28"/>
    <s v="Hugo"/>
    <n v="1"/>
    <m/>
    <n v="1"/>
    <m/>
    <m/>
    <m/>
    <m/>
    <m/>
    <m/>
    <m/>
    <x v="214"/>
    <m/>
    <m/>
  </r>
  <r>
    <m/>
    <x v="75"/>
    <x v="10"/>
    <s v="Lája + Bianca"/>
    <n v="7"/>
    <m/>
    <n v="1"/>
    <m/>
    <m/>
    <n v="3"/>
    <n v="2"/>
    <n v="1"/>
    <m/>
    <m/>
    <x v="215"/>
    <m/>
    <m/>
  </r>
  <r>
    <m/>
    <x v="76"/>
    <x v="13"/>
    <s v="Holly"/>
    <n v="2"/>
    <m/>
    <m/>
    <m/>
    <m/>
    <n v="1"/>
    <n v="1"/>
    <m/>
    <m/>
    <m/>
    <x v="216"/>
    <m/>
    <s v="https://mapy.cz/s/3sbY8"/>
  </r>
  <r>
    <m/>
    <x v="77"/>
    <x v="33"/>
    <s v="Matouš"/>
    <n v="2"/>
    <n v="1"/>
    <m/>
    <m/>
    <m/>
    <n v="1"/>
    <m/>
    <m/>
    <m/>
    <m/>
    <x v="217"/>
    <m/>
    <m/>
  </r>
  <r>
    <m/>
    <x v="77"/>
    <x v="28"/>
    <s v="Hugo"/>
    <n v="1"/>
    <m/>
    <m/>
    <m/>
    <m/>
    <m/>
    <m/>
    <n v="1"/>
    <m/>
    <m/>
    <x v="218"/>
    <m/>
    <m/>
  </r>
  <r>
    <m/>
    <x v="77"/>
    <x v="5"/>
    <s v="Bessie + Mína"/>
    <n v="2"/>
    <m/>
    <m/>
    <m/>
    <m/>
    <n v="1"/>
    <n v="1"/>
    <m/>
    <m/>
    <m/>
    <x v="219"/>
    <m/>
    <m/>
  </r>
  <r>
    <m/>
    <x v="78"/>
    <x v="1"/>
    <s v="Čaky"/>
    <n v="2"/>
    <m/>
    <m/>
    <m/>
    <m/>
    <n v="1"/>
    <n v="1"/>
    <m/>
    <m/>
    <m/>
    <x v="220"/>
    <m/>
    <m/>
  </r>
  <r>
    <m/>
    <x v="78"/>
    <x v="14"/>
    <s v="Bigi"/>
    <n v="1"/>
    <m/>
    <m/>
    <m/>
    <m/>
    <n v="1"/>
    <m/>
    <m/>
    <m/>
    <m/>
    <x v="221"/>
    <m/>
    <m/>
  </r>
  <r>
    <m/>
    <x v="78"/>
    <x v="5"/>
    <s v="Bessie + Mína"/>
    <n v="1"/>
    <m/>
    <m/>
    <m/>
    <m/>
    <n v="1"/>
    <m/>
    <m/>
    <m/>
    <m/>
    <x v="221"/>
    <m/>
    <m/>
  </r>
  <r>
    <m/>
    <x v="78"/>
    <x v="12"/>
    <s v="Bara"/>
    <n v="1"/>
    <m/>
    <m/>
    <m/>
    <m/>
    <m/>
    <m/>
    <n v="1"/>
    <m/>
    <m/>
    <x v="222"/>
    <m/>
    <m/>
  </r>
  <r>
    <m/>
    <x v="78"/>
    <x v="0"/>
    <s v="Abigail"/>
    <n v="1"/>
    <m/>
    <m/>
    <m/>
    <m/>
    <n v="1"/>
    <m/>
    <m/>
    <m/>
    <m/>
    <x v="196"/>
    <m/>
    <m/>
  </r>
  <r>
    <m/>
    <x v="79"/>
    <x v="0"/>
    <s v="Abigail"/>
    <n v="2"/>
    <m/>
    <m/>
    <m/>
    <m/>
    <n v="1"/>
    <n v="1"/>
    <m/>
    <m/>
    <m/>
    <x v="223"/>
    <m/>
    <m/>
  </r>
  <r>
    <m/>
    <x v="80"/>
    <x v="5"/>
    <s v="Bessie + Mína"/>
    <n v="1"/>
    <m/>
    <m/>
    <m/>
    <m/>
    <n v="1"/>
    <m/>
    <m/>
    <m/>
    <m/>
    <x v="224"/>
    <m/>
    <s v="https://mapy.cz/s/3qZ8M "/>
  </r>
  <r>
    <m/>
    <x v="81"/>
    <x v="20"/>
    <s v="Baron"/>
    <n v="7"/>
    <m/>
    <m/>
    <n v="1"/>
    <n v="4"/>
    <n v="2"/>
    <m/>
    <m/>
    <m/>
    <m/>
    <x v="225"/>
    <m/>
    <m/>
  </r>
  <r>
    <m/>
    <x v="82"/>
    <x v="13"/>
    <s v="Holly"/>
    <n v="3"/>
    <m/>
    <n v="1"/>
    <m/>
    <m/>
    <m/>
    <m/>
    <n v="2"/>
    <m/>
    <m/>
    <x v="226"/>
    <m/>
    <s v="https://mapy.cz/s/3sbXX"/>
  </r>
  <r>
    <m/>
    <x v="82"/>
    <x v="14"/>
    <s v="Bigi"/>
    <n v="3"/>
    <m/>
    <n v="1"/>
    <m/>
    <m/>
    <m/>
    <m/>
    <n v="2"/>
    <m/>
    <m/>
    <x v="226"/>
    <m/>
    <m/>
  </r>
  <r>
    <m/>
    <x v="82"/>
    <x v="16"/>
    <s v="Art"/>
    <n v="3"/>
    <m/>
    <m/>
    <m/>
    <m/>
    <n v="2"/>
    <m/>
    <m/>
    <m/>
    <n v="1"/>
    <x v="17"/>
    <m/>
    <m/>
  </r>
  <r>
    <m/>
    <x v="82"/>
    <x v="31"/>
    <s v="Cejlí"/>
    <n v="1"/>
    <m/>
    <m/>
    <m/>
    <m/>
    <n v="1"/>
    <m/>
    <m/>
    <m/>
    <m/>
    <x v="227"/>
    <m/>
    <m/>
  </r>
  <r>
    <m/>
    <x v="82"/>
    <x v="18"/>
    <s v="Gimi"/>
    <n v="1"/>
    <m/>
    <m/>
    <m/>
    <m/>
    <n v="1"/>
    <m/>
    <m/>
    <m/>
    <m/>
    <x v="228"/>
    <m/>
    <m/>
  </r>
  <r>
    <m/>
    <x v="82"/>
    <x v="5"/>
    <s v="Bessie + Mína"/>
    <n v="3"/>
    <m/>
    <n v="1"/>
    <m/>
    <m/>
    <n v="1"/>
    <m/>
    <m/>
    <n v="1"/>
    <m/>
    <x v="229"/>
    <m/>
    <s v="https://mapy.cz/s/3rglf "/>
  </r>
  <r>
    <m/>
    <x v="82"/>
    <x v="20"/>
    <s v="Baron"/>
    <n v="4"/>
    <m/>
    <m/>
    <n v="1"/>
    <n v="1"/>
    <n v="2"/>
    <m/>
    <m/>
    <m/>
    <m/>
    <x v="230"/>
    <m/>
    <m/>
  </r>
  <r>
    <m/>
    <x v="82"/>
    <x v="37"/>
    <s v="Bery"/>
    <n v="1"/>
    <m/>
    <n v="1"/>
    <m/>
    <m/>
    <m/>
    <m/>
    <m/>
    <m/>
    <m/>
    <x v="231"/>
    <m/>
    <m/>
  </r>
  <r>
    <m/>
    <x v="82"/>
    <x v="12"/>
    <s v="Bara"/>
    <n v="2"/>
    <m/>
    <m/>
    <n v="1"/>
    <m/>
    <n v="1"/>
    <m/>
    <m/>
    <m/>
    <m/>
    <x v="232"/>
    <m/>
    <m/>
  </r>
  <r>
    <m/>
    <x v="82"/>
    <x v="26"/>
    <s v="Ali"/>
    <n v="3"/>
    <n v="1"/>
    <m/>
    <m/>
    <n v="1"/>
    <n v="1"/>
    <m/>
    <m/>
    <m/>
    <m/>
    <x v="233"/>
    <m/>
    <m/>
  </r>
  <r>
    <m/>
    <x v="83"/>
    <x v="16"/>
    <s v="Art"/>
    <n v="1"/>
    <m/>
    <m/>
    <m/>
    <m/>
    <n v="1"/>
    <m/>
    <m/>
    <m/>
    <m/>
    <x v="106"/>
    <m/>
    <m/>
  </r>
  <r>
    <m/>
    <x v="83"/>
    <x v="31"/>
    <s v="Cejlí"/>
    <n v="2"/>
    <m/>
    <m/>
    <m/>
    <m/>
    <n v="2"/>
    <m/>
    <m/>
    <m/>
    <m/>
    <x v="234"/>
    <m/>
    <m/>
  </r>
  <r>
    <m/>
    <x v="83"/>
    <x v="18"/>
    <s v="Gimi"/>
    <n v="1"/>
    <m/>
    <n v="1"/>
    <m/>
    <m/>
    <m/>
    <m/>
    <m/>
    <m/>
    <m/>
    <x v="235"/>
    <m/>
    <m/>
  </r>
  <r>
    <m/>
    <x v="83"/>
    <x v="12"/>
    <s v="Bara"/>
    <n v="2"/>
    <m/>
    <n v="1"/>
    <n v="1"/>
    <m/>
    <m/>
    <m/>
    <m/>
    <m/>
    <m/>
    <x v="236"/>
    <m/>
    <m/>
  </r>
  <r>
    <m/>
    <x v="83"/>
    <x v="5"/>
    <s v="Bessie + Mína"/>
    <n v="5"/>
    <m/>
    <n v="1"/>
    <m/>
    <m/>
    <n v="3"/>
    <n v="1"/>
    <m/>
    <m/>
    <m/>
    <x v="237"/>
    <m/>
    <s v="https://mapy.cz/s/3rgnP "/>
  </r>
  <r>
    <m/>
    <x v="83"/>
    <x v="20"/>
    <s v="Baron"/>
    <n v="1"/>
    <m/>
    <m/>
    <m/>
    <n v="1"/>
    <m/>
    <m/>
    <m/>
    <m/>
    <m/>
    <x v="238"/>
    <m/>
    <m/>
  </r>
  <r>
    <m/>
    <x v="84"/>
    <x v="10"/>
    <s v="Lája + Bianca"/>
    <n v="3"/>
    <m/>
    <n v="1"/>
    <m/>
    <m/>
    <m/>
    <n v="2"/>
    <m/>
    <m/>
    <m/>
    <x v="239"/>
    <m/>
    <m/>
  </r>
  <r>
    <m/>
    <x v="84"/>
    <x v="38"/>
    <s v="Indy"/>
    <n v="2"/>
    <m/>
    <m/>
    <m/>
    <m/>
    <m/>
    <n v="2"/>
    <m/>
    <m/>
    <m/>
    <x v="240"/>
    <m/>
    <m/>
  </r>
  <r>
    <m/>
    <x v="84"/>
    <x v="1"/>
    <s v="Čaky"/>
    <n v="2"/>
    <m/>
    <m/>
    <m/>
    <n v="2"/>
    <m/>
    <m/>
    <m/>
    <m/>
    <m/>
    <x v="241"/>
    <m/>
    <m/>
  </r>
  <r>
    <m/>
    <x v="84"/>
    <x v="5"/>
    <s v="Bessie + Mína"/>
    <n v="1"/>
    <m/>
    <m/>
    <m/>
    <m/>
    <n v="1"/>
    <m/>
    <m/>
    <m/>
    <m/>
    <x v="242"/>
    <m/>
    <s v="https://mapy.cz/s/3rgpO "/>
  </r>
  <r>
    <m/>
    <x v="84"/>
    <x v="37"/>
    <s v="Bery"/>
    <n v="1"/>
    <m/>
    <m/>
    <m/>
    <m/>
    <n v="1"/>
    <m/>
    <m/>
    <m/>
    <m/>
    <x v="243"/>
    <m/>
    <m/>
  </r>
  <r>
    <m/>
    <x v="85"/>
    <x v="31"/>
    <s v="Cejlí"/>
    <n v="3"/>
    <m/>
    <n v="1"/>
    <m/>
    <m/>
    <n v="2"/>
    <m/>
    <m/>
    <m/>
    <m/>
    <x v="244"/>
    <m/>
    <m/>
  </r>
  <r>
    <m/>
    <x v="85"/>
    <x v="28"/>
    <s v="Hugo"/>
    <n v="3"/>
    <m/>
    <n v="1"/>
    <n v="1"/>
    <m/>
    <n v="1"/>
    <m/>
    <m/>
    <m/>
    <m/>
    <x v="245"/>
    <m/>
    <m/>
  </r>
  <r>
    <m/>
    <x v="85"/>
    <x v="39"/>
    <s v="Dorka"/>
    <n v="1"/>
    <m/>
    <m/>
    <m/>
    <m/>
    <n v="1"/>
    <m/>
    <m/>
    <m/>
    <m/>
    <x v="246"/>
    <m/>
    <m/>
  </r>
  <r>
    <m/>
    <x v="85"/>
    <x v="25"/>
    <s v="Iber"/>
    <n v="5"/>
    <m/>
    <m/>
    <n v="1"/>
    <n v="1"/>
    <n v="1"/>
    <m/>
    <n v="2"/>
    <m/>
    <m/>
    <x v="247"/>
    <m/>
    <m/>
  </r>
  <r>
    <m/>
    <x v="85"/>
    <x v="33"/>
    <s v="Matouš"/>
    <n v="5"/>
    <m/>
    <n v="1"/>
    <n v="1"/>
    <m/>
    <n v="2"/>
    <n v="1"/>
    <m/>
    <m/>
    <m/>
    <x v="248"/>
    <m/>
    <m/>
  </r>
  <r>
    <m/>
    <x v="85"/>
    <x v="9"/>
    <s v="CHilli"/>
    <n v="1"/>
    <m/>
    <m/>
    <m/>
    <m/>
    <m/>
    <n v="1"/>
    <m/>
    <m/>
    <m/>
    <x v="249"/>
    <m/>
    <m/>
  </r>
  <r>
    <m/>
    <x v="85"/>
    <x v="4"/>
    <s v="Ája"/>
    <n v="4"/>
    <m/>
    <m/>
    <n v="1"/>
    <m/>
    <n v="3"/>
    <m/>
    <m/>
    <m/>
    <m/>
    <x v="250"/>
    <m/>
    <m/>
  </r>
  <r>
    <m/>
    <x v="85"/>
    <x v="1"/>
    <s v="Čaky"/>
    <n v="2"/>
    <m/>
    <m/>
    <m/>
    <m/>
    <n v="2"/>
    <m/>
    <m/>
    <m/>
    <m/>
    <x v="251"/>
    <m/>
    <m/>
  </r>
  <r>
    <m/>
    <x v="85"/>
    <x v="5"/>
    <s v="Bessie + Mína"/>
    <n v="5"/>
    <m/>
    <n v="1"/>
    <n v="1"/>
    <m/>
    <n v="2"/>
    <n v="1"/>
    <m/>
    <m/>
    <m/>
    <x v="252"/>
    <m/>
    <s v="https://mapy.cz/s/3rgqO "/>
  </r>
  <r>
    <m/>
    <x v="85"/>
    <x v="20"/>
    <s v="Baron"/>
    <n v="1"/>
    <m/>
    <m/>
    <m/>
    <n v="1"/>
    <m/>
    <m/>
    <m/>
    <m/>
    <m/>
    <x v="253"/>
    <m/>
    <m/>
  </r>
  <r>
    <m/>
    <x v="86"/>
    <x v="20"/>
    <s v="Baron"/>
    <n v="1"/>
    <m/>
    <m/>
    <m/>
    <n v="1"/>
    <m/>
    <m/>
    <m/>
    <m/>
    <m/>
    <x v="254"/>
    <m/>
    <m/>
  </r>
  <r>
    <m/>
    <x v="87"/>
    <x v="37"/>
    <s v="Bery"/>
    <n v="1"/>
    <m/>
    <m/>
    <m/>
    <m/>
    <n v="1"/>
    <m/>
    <m/>
    <m/>
    <m/>
    <x v="255"/>
    <m/>
    <m/>
  </r>
  <r>
    <m/>
    <x v="88"/>
    <x v="25"/>
    <s v="Iber"/>
    <n v="2"/>
    <m/>
    <m/>
    <m/>
    <m/>
    <n v="2"/>
    <m/>
    <m/>
    <m/>
    <m/>
    <x v="256"/>
    <m/>
    <m/>
  </r>
  <r>
    <m/>
    <x v="88"/>
    <x v="20"/>
    <s v="Baron"/>
    <n v="2"/>
    <m/>
    <m/>
    <m/>
    <m/>
    <n v="2"/>
    <m/>
    <m/>
    <m/>
    <m/>
    <x v="257"/>
    <m/>
    <m/>
  </r>
  <r>
    <m/>
    <x v="89"/>
    <x v="23"/>
    <s v="Denis"/>
    <n v="1"/>
    <m/>
    <m/>
    <m/>
    <m/>
    <m/>
    <n v="1"/>
    <m/>
    <m/>
    <m/>
    <x v="258"/>
    <m/>
    <m/>
  </r>
  <r>
    <m/>
    <x v="89"/>
    <x v="38"/>
    <s v="Indy"/>
    <n v="1"/>
    <m/>
    <m/>
    <m/>
    <m/>
    <n v="1"/>
    <m/>
    <m/>
    <m/>
    <m/>
    <x v="259"/>
    <m/>
    <m/>
  </r>
  <r>
    <m/>
    <x v="89"/>
    <x v="18"/>
    <s v="Gimi"/>
    <n v="2"/>
    <m/>
    <m/>
    <m/>
    <m/>
    <n v="2"/>
    <m/>
    <m/>
    <m/>
    <m/>
    <x v="260"/>
    <m/>
    <m/>
  </r>
  <r>
    <m/>
    <x v="89"/>
    <x v="26"/>
    <s v="Ali"/>
    <n v="1"/>
    <m/>
    <n v="1"/>
    <m/>
    <m/>
    <m/>
    <m/>
    <m/>
    <m/>
    <m/>
    <x v="261"/>
    <m/>
    <m/>
  </r>
  <r>
    <m/>
    <x v="90"/>
    <x v="28"/>
    <s v="Hugo"/>
    <n v="1"/>
    <m/>
    <m/>
    <m/>
    <m/>
    <n v="1"/>
    <m/>
    <m/>
    <m/>
    <m/>
    <x v="262"/>
    <m/>
    <m/>
  </r>
  <r>
    <m/>
    <x v="90"/>
    <x v="0"/>
    <s v="Abigail"/>
    <n v="1"/>
    <m/>
    <m/>
    <m/>
    <m/>
    <n v="1"/>
    <m/>
    <m/>
    <m/>
    <m/>
    <x v="263"/>
    <m/>
    <m/>
  </r>
  <r>
    <m/>
    <x v="90"/>
    <x v="7"/>
    <s v="Argo"/>
    <n v="1"/>
    <m/>
    <m/>
    <m/>
    <m/>
    <m/>
    <n v="1"/>
    <m/>
    <m/>
    <m/>
    <x v="264"/>
    <m/>
    <m/>
  </r>
  <r>
    <m/>
    <x v="90"/>
    <x v="13"/>
    <s v="Holly"/>
    <n v="3"/>
    <m/>
    <m/>
    <m/>
    <m/>
    <n v="1"/>
    <n v="1"/>
    <m/>
    <n v="1"/>
    <m/>
    <x v="265"/>
    <m/>
    <s v="https://mapy.cz/s/3sbXt"/>
  </r>
  <r>
    <m/>
    <x v="90"/>
    <x v="40"/>
    <s v="Ema"/>
    <n v="2"/>
    <m/>
    <m/>
    <m/>
    <n v="1"/>
    <n v="1"/>
    <m/>
    <m/>
    <m/>
    <m/>
    <x v="266"/>
    <m/>
    <m/>
  </r>
  <r>
    <m/>
    <x v="90"/>
    <x v="38"/>
    <s v="Indy"/>
    <n v="4"/>
    <m/>
    <m/>
    <n v="2"/>
    <m/>
    <n v="2"/>
    <m/>
    <m/>
    <m/>
    <m/>
    <x v="267"/>
    <m/>
    <m/>
  </r>
  <r>
    <m/>
    <x v="90"/>
    <x v="19"/>
    <s v="Rory"/>
    <n v="2"/>
    <m/>
    <m/>
    <n v="1"/>
    <m/>
    <n v="1"/>
    <m/>
    <m/>
    <m/>
    <m/>
    <x v="268"/>
    <m/>
    <m/>
  </r>
  <r>
    <m/>
    <x v="90"/>
    <x v="9"/>
    <s v="Chilli"/>
    <n v="2"/>
    <m/>
    <m/>
    <n v="1"/>
    <m/>
    <n v="1"/>
    <m/>
    <m/>
    <m/>
    <m/>
    <x v="268"/>
    <m/>
    <m/>
  </r>
  <r>
    <m/>
    <x v="90"/>
    <x v="1"/>
    <s v="Čaky"/>
    <n v="8"/>
    <m/>
    <n v="5"/>
    <m/>
    <m/>
    <n v="2"/>
    <m/>
    <n v="1"/>
    <m/>
    <m/>
    <x v="269"/>
    <m/>
    <m/>
  </r>
  <r>
    <m/>
    <x v="91"/>
    <x v="41"/>
    <s v="Anka + Brebta"/>
    <n v="1"/>
    <m/>
    <m/>
    <m/>
    <m/>
    <n v="1"/>
    <m/>
    <m/>
    <m/>
    <m/>
    <x v="138"/>
    <m/>
    <m/>
  </r>
  <r>
    <m/>
    <x v="91"/>
    <x v="5"/>
    <s v="Bessie + Mína"/>
    <n v="1"/>
    <m/>
    <m/>
    <m/>
    <m/>
    <n v="1"/>
    <m/>
    <m/>
    <m/>
    <m/>
    <x v="270"/>
    <m/>
    <s v="https://mapy.cz/s/3rw37 "/>
  </r>
  <r>
    <m/>
    <x v="91"/>
    <x v="18"/>
    <s v="Gimi"/>
    <n v="2"/>
    <m/>
    <m/>
    <m/>
    <m/>
    <n v="1"/>
    <n v="1"/>
    <m/>
    <m/>
    <m/>
    <x v="271"/>
    <m/>
    <m/>
  </r>
  <r>
    <m/>
    <x v="91"/>
    <x v="40"/>
    <s v="Ema"/>
    <n v="2"/>
    <m/>
    <m/>
    <n v="1"/>
    <m/>
    <n v="1"/>
    <m/>
    <m/>
    <m/>
    <m/>
    <x v="272"/>
    <m/>
    <m/>
  </r>
  <r>
    <m/>
    <x v="91"/>
    <x v="10"/>
    <s v="Lája + Bianca"/>
    <n v="9"/>
    <m/>
    <m/>
    <m/>
    <n v="5"/>
    <m/>
    <n v="2"/>
    <n v="2"/>
    <m/>
    <m/>
    <x v="273"/>
    <m/>
    <m/>
  </r>
  <r>
    <m/>
    <x v="91"/>
    <x v="1"/>
    <s v="Čaky"/>
    <n v="6"/>
    <m/>
    <n v="1"/>
    <n v="2"/>
    <m/>
    <n v="1"/>
    <n v="2"/>
    <m/>
    <m/>
    <m/>
    <x v="274"/>
    <m/>
    <m/>
  </r>
  <r>
    <m/>
    <x v="92"/>
    <x v="18"/>
    <s v="Gimi"/>
    <n v="1"/>
    <m/>
    <m/>
    <m/>
    <m/>
    <n v="1"/>
    <m/>
    <m/>
    <m/>
    <m/>
    <x v="275"/>
    <m/>
    <m/>
  </r>
  <r>
    <m/>
    <x v="93"/>
    <x v="31"/>
    <s v="Cejlí"/>
    <n v="2"/>
    <m/>
    <n v="1"/>
    <m/>
    <m/>
    <n v="1"/>
    <m/>
    <m/>
    <m/>
    <m/>
    <x v="276"/>
    <m/>
    <m/>
  </r>
  <r>
    <m/>
    <x v="93"/>
    <x v="38"/>
    <s v="Indy"/>
    <n v="1"/>
    <m/>
    <m/>
    <m/>
    <m/>
    <m/>
    <n v="1"/>
    <m/>
    <m/>
    <m/>
    <x v="277"/>
    <m/>
    <m/>
  </r>
  <r>
    <m/>
    <x v="93"/>
    <x v="10"/>
    <s v="Lája + Bianca"/>
    <n v="5"/>
    <m/>
    <m/>
    <m/>
    <n v="2"/>
    <m/>
    <n v="1"/>
    <n v="2"/>
    <m/>
    <m/>
    <x v="278"/>
    <m/>
    <m/>
  </r>
  <r>
    <m/>
    <x v="93"/>
    <x v="5"/>
    <s v="Bessie + Mína"/>
    <n v="3"/>
    <m/>
    <n v="1"/>
    <m/>
    <m/>
    <n v="2"/>
    <m/>
    <m/>
    <m/>
    <m/>
    <x v="279"/>
    <m/>
    <s v="https://mapy.cz/s/3rNd5 "/>
  </r>
  <r>
    <m/>
    <x v="93"/>
    <x v="1"/>
    <s v="Čaky"/>
    <n v="1"/>
    <m/>
    <m/>
    <m/>
    <m/>
    <n v="1"/>
    <m/>
    <m/>
    <m/>
    <m/>
    <x v="280"/>
    <m/>
    <m/>
  </r>
  <r>
    <m/>
    <x v="93"/>
    <x v="11"/>
    <s v="Beky"/>
    <n v="3"/>
    <m/>
    <m/>
    <m/>
    <m/>
    <n v="3"/>
    <m/>
    <m/>
    <m/>
    <m/>
    <x v="281"/>
    <m/>
    <m/>
  </r>
  <r>
    <m/>
    <x v="93"/>
    <x v="42"/>
    <s v="Alby"/>
    <n v="3"/>
    <n v="1"/>
    <m/>
    <m/>
    <n v="1"/>
    <n v="1"/>
    <m/>
    <m/>
    <m/>
    <m/>
    <x v="282"/>
    <m/>
    <m/>
  </r>
  <r>
    <m/>
    <x v="94"/>
    <x v="25"/>
    <s v="Iber"/>
    <n v="1"/>
    <m/>
    <m/>
    <m/>
    <m/>
    <n v="1"/>
    <m/>
    <m/>
    <m/>
    <m/>
    <x v="283"/>
    <m/>
    <m/>
  </r>
  <r>
    <m/>
    <x v="95"/>
    <x v="38"/>
    <s v="Indy"/>
    <n v="2"/>
    <m/>
    <n v="1"/>
    <m/>
    <m/>
    <n v="1"/>
    <m/>
    <m/>
    <m/>
    <m/>
    <x v="119"/>
    <m/>
    <m/>
  </r>
  <r>
    <m/>
    <x v="95"/>
    <x v="16"/>
    <s v="Art"/>
    <n v="2"/>
    <m/>
    <m/>
    <m/>
    <m/>
    <n v="1"/>
    <m/>
    <n v="1"/>
    <m/>
    <m/>
    <x v="284"/>
    <m/>
    <m/>
  </r>
  <r>
    <m/>
    <x v="95"/>
    <x v="11"/>
    <s v="Beky"/>
    <n v="2"/>
    <m/>
    <m/>
    <m/>
    <m/>
    <n v="1"/>
    <n v="1"/>
    <m/>
    <m/>
    <m/>
    <x v="285"/>
    <m/>
    <m/>
  </r>
  <r>
    <m/>
    <x v="95"/>
    <x v="0"/>
    <s v="Abigail"/>
    <n v="2"/>
    <m/>
    <m/>
    <m/>
    <m/>
    <n v="1"/>
    <n v="1"/>
    <m/>
    <m/>
    <m/>
    <x v="285"/>
    <m/>
    <m/>
  </r>
  <r>
    <m/>
    <x v="95"/>
    <x v="43"/>
    <s v="Perla"/>
    <n v="2"/>
    <m/>
    <m/>
    <m/>
    <m/>
    <n v="1"/>
    <n v="1"/>
    <m/>
    <m/>
    <m/>
    <x v="285"/>
    <m/>
    <m/>
  </r>
  <r>
    <m/>
    <x v="96"/>
    <x v="5"/>
    <s v="Bessie + Mína"/>
    <n v="2"/>
    <m/>
    <m/>
    <n v="1"/>
    <m/>
    <n v="1"/>
    <m/>
    <m/>
    <m/>
    <m/>
    <x v="286"/>
    <m/>
    <s v="https://mapy.cz/s/3rNcF "/>
  </r>
  <r>
    <m/>
    <x v="96"/>
    <x v="0"/>
    <s v="Abigail"/>
    <n v="2"/>
    <m/>
    <m/>
    <n v="1"/>
    <m/>
    <n v="1"/>
    <m/>
    <m/>
    <m/>
    <m/>
    <x v="286"/>
    <m/>
    <m/>
  </r>
  <r>
    <m/>
    <x v="96"/>
    <x v="11"/>
    <s v="Beky"/>
    <n v="2"/>
    <m/>
    <m/>
    <n v="1"/>
    <m/>
    <n v="1"/>
    <m/>
    <m/>
    <m/>
    <m/>
    <x v="286"/>
    <m/>
    <m/>
  </r>
  <r>
    <m/>
    <x v="96"/>
    <x v="1"/>
    <s v="Čaky"/>
    <n v="3"/>
    <m/>
    <n v="1"/>
    <m/>
    <m/>
    <m/>
    <m/>
    <n v="2"/>
    <m/>
    <m/>
    <x v="287"/>
    <m/>
    <m/>
  </r>
  <r>
    <m/>
    <x v="96"/>
    <x v="44"/>
    <s v="Fanča"/>
    <n v="3"/>
    <m/>
    <n v="1"/>
    <m/>
    <m/>
    <n v="2"/>
    <m/>
    <m/>
    <m/>
    <m/>
    <x v="288"/>
    <m/>
    <m/>
  </r>
  <r>
    <m/>
    <x v="96"/>
    <x v="10"/>
    <s v="Lája + Bianca"/>
    <n v="2"/>
    <m/>
    <n v="1"/>
    <n v="1"/>
    <m/>
    <m/>
    <m/>
    <m/>
    <m/>
    <m/>
    <x v="289"/>
    <m/>
    <m/>
  </r>
  <r>
    <m/>
    <x v="97"/>
    <x v="27"/>
    <s v="Bára"/>
    <n v="4"/>
    <m/>
    <m/>
    <n v="1"/>
    <m/>
    <n v="3"/>
    <m/>
    <m/>
    <m/>
    <m/>
    <x v="290"/>
    <m/>
    <m/>
  </r>
  <r>
    <m/>
    <x v="97"/>
    <x v="28"/>
    <s v="Hugo"/>
    <n v="3"/>
    <m/>
    <n v="1"/>
    <m/>
    <m/>
    <m/>
    <m/>
    <n v="2"/>
    <m/>
    <m/>
    <x v="291"/>
    <m/>
    <m/>
  </r>
  <r>
    <m/>
    <x v="97"/>
    <x v="37"/>
    <s v="Bery"/>
    <n v="3"/>
    <m/>
    <n v="3"/>
    <m/>
    <m/>
    <m/>
    <m/>
    <m/>
    <m/>
    <m/>
    <x v="292"/>
    <m/>
    <m/>
  </r>
  <r>
    <m/>
    <x v="97"/>
    <x v="9"/>
    <s v="Chilli"/>
    <n v="3"/>
    <m/>
    <n v="2"/>
    <m/>
    <m/>
    <n v="1"/>
    <m/>
    <m/>
    <m/>
    <m/>
    <x v="214"/>
    <m/>
    <m/>
  </r>
  <r>
    <m/>
    <x v="98"/>
    <x v="9"/>
    <s v="Chilli"/>
    <n v="1"/>
    <m/>
    <m/>
    <m/>
    <m/>
    <n v="1"/>
    <m/>
    <m/>
    <m/>
    <m/>
    <x v="74"/>
    <m/>
    <m/>
  </r>
  <r>
    <m/>
    <x v="99"/>
    <x v="22"/>
    <s v="Dea"/>
    <n v="2"/>
    <m/>
    <m/>
    <m/>
    <m/>
    <n v="1"/>
    <n v="1"/>
    <m/>
    <m/>
    <m/>
    <x v="293"/>
    <m/>
    <m/>
  </r>
  <r>
    <m/>
    <x v="99"/>
    <x v="14"/>
    <s v="Bigi"/>
    <n v="1"/>
    <m/>
    <m/>
    <m/>
    <m/>
    <m/>
    <n v="1"/>
    <m/>
    <m/>
    <m/>
    <x v="294"/>
    <m/>
    <m/>
  </r>
  <r>
    <m/>
    <x v="99"/>
    <x v="33"/>
    <s v="Matouš"/>
    <n v="1"/>
    <m/>
    <m/>
    <m/>
    <m/>
    <n v="1"/>
    <m/>
    <m/>
    <m/>
    <m/>
    <x v="53"/>
    <m/>
    <m/>
  </r>
  <r>
    <m/>
    <x v="99"/>
    <x v="18"/>
    <s v="Gimi"/>
    <n v="2"/>
    <m/>
    <m/>
    <m/>
    <m/>
    <n v="2"/>
    <m/>
    <m/>
    <m/>
    <m/>
    <x v="295"/>
    <m/>
    <m/>
  </r>
  <r>
    <m/>
    <x v="99"/>
    <x v="30"/>
    <s v="Hugo"/>
    <n v="3"/>
    <m/>
    <m/>
    <m/>
    <m/>
    <n v="3"/>
    <m/>
    <m/>
    <m/>
    <m/>
    <x v="296"/>
    <m/>
    <m/>
  </r>
  <r>
    <m/>
    <x v="99"/>
    <x v="16"/>
    <s v="Art"/>
    <n v="4"/>
    <n v="1"/>
    <m/>
    <n v="1"/>
    <n v="1"/>
    <n v="1"/>
    <m/>
    <m/>
    <m/>
    <m/>
    <x v="297"/>
    <m/>
    <m/>
  </r>
  <r>
    <m/>
    <x v="99"/>
    <x v="12"/>
    <s v="Bara"/>
    <n v="2"/>
    <m/>
    <n v="1"/>
    <n v="1"/>
    <m/>
    <m/>
    <m/>
    <m/>
    <m/>
    <m/>
    <x v="298"/>
    <m/>
    <m/>
  </r>
  <r>
    <m/>
    <x v="99"/>
    <x v="38"/>
    <s v="Indy"/>
    <n v="1"/>
    <m/>
    <m/>
    <m/>
    <m/>
    <n v="1"/>
    <m/>
    <m/>
    <m/>
    <m/>
    <x v="299"/>
    <m/>
    <m/>
  </r>
  <r>
    <m/>
    <x v="99"/>
    <x v="11"/>
    <s v="Beky"/>
    <n v="1"/>
    <m/>
    <m/>
    <m/>
    <m/>
    <n v="1"/>
    <m/>
    <m/>
    <m/>
    <m/>
    <x v="300"/>
    <m/>
    <m/>
  </r>
  <r>
    <m/>
    <x v="99"/>
    <x v="0"/>
    <s v="Abigail"/>
    <n v="1"/>
    <m/>
    <m/>
    <m/>
    <m/>
    <n v="1"/>
    <m/>
    <m/>
    <m/>
    <m/>
    <x v="300"/>
    <m/>
    <m/>
  </r>
  <r>
    <m/>
    <x v="100"/>
    <x v="5"/>
    <s v="Bessie + Mína"/>
    <n v="3"/>
    <m/>
    <m/>
    <m/>
    <m/>
    <n v="2"/>
    <m/>
    <n v="1"/>
    <m/>
    <m/>
    <x v="301"/>
    <s v="restaurace Velký Javorník"/>
    <s v="https://mapy.cz/s/3s96f "/>
  </r>
  <r>
    <m/>
    <x v="100"/>
    <x v="25"/>
    <s v="Iber"/>
    <n v="2"/>
    <m/>
    <n v="2"/>
    <m/>
    <m/>
    <m/>
    <m/>
    <m/>
    <m/>
    <m/>
    <x v="302"/>
    <m/>
    <m/>
  </r>
  <r>
    <m/>
    <x v="101"/>
    <x v="5"/>
    <s v="Bessie + Mína"/>
    <n v="9"/>
    <m/>
    <m/>
    <n v="2"/>
    <n v="7"/>
    <m/>
    <m/>
    <m/>
    <m/>
    <m/>
    <x v="303"/>
    <m/>
    <m/>
  </r>
  <r>
    <m/>
    <x v="101"/>
    <x v="37"/>
    <s v="Bery"/>
    <n v="4"/>
    <m/>
    <m/>
    <m/>
    <n v="3"/>
    <n v="1"/>
    <m/>
    <m/>
    <m/>
    <m/>
    <x v="304"/>
    <m/>
    <m/>
  </r>
  <r>
    <m/>
    <x v="101"/>
    <x v="25"/>
    <s v="Iber"/>
    <n v="2"/>
    <m/>
    <n v="1"/>
    <n v="1"/>
    <m/>
    <m/>
    <m/>
    <m/>
    <m/>
    <m/>
    <x v="305"/>
    <m/>
    <m/>
  </r>
  <r>
    <m/>
    <x v="102"/>
    <x v="9"/>
    <s v="Chilli"/>
    <n v="1"/>
    <m/>
    <m/>
    <n v="1"/>
    <m/>
    <m/>
    <m/>
    <m/>
    <m/>
    <m/>
    <x v="306"/>
    <m/>
    <m/>
  </r>
  <r>
    <m/>
    <x v="102"/>
    <x v="14"/>
    <s v="Bigi"/>
    <n v="1"/>
    <m/>
    <m/>
    <m/>
    <m/>
    <m/>
    <n v="1"/>
    <m/>
    <m/>
    <m/>
    <x v="307"/>
    <m/>
    <m/>
  </r>
  <r>
    <m/>
    <x v="102"/>
    <x v="1"/>
    <s v="Čaky"/>
    <n v="3"/>
    <m/>
    <m/>
    <m/>
    <n v="3"/>
    <m/>
    <m/>
    <m/>
    <m/>
    <m/>
    <x v="308"/>
    <m/>
    <m/>
  </r>
  <r>
    <m/>
    <x v="102"/>
    <x v="45"/>
    <s v="Ax"/>
    <n v="2"/>
    <m/>
    <m/>
    <m/>
    <n v="1"/>
    <n v="1"/>
    <m/>
    <m/>
    <m/>
    <m/>
    <x v="266"/>
    <m/>
    <m/>
  </r>
  <r>
    <m/>
    <x v="102"/>
    <x v="37"/>
    <s v="Bery"/>
    <n v="2"/>
    <m/>
    <n v="1"/>
    <n v="1"/>
    <m/>
    <m/>
    <m/>
    <m/>
    <m/>
    <m/>
    <x v="309"/>
    <m/>
    <m/>
  </r>
  <r>
    <m/>
    <x v="102"/>
    <x v="16"/>
    <s v="Art"/>
    <n v="5"/>
    <m/>
    <n v="2"/>
    <n v="2"/>
    <m/>
    <n v="1"/>
    <m/>
    <m/>
    <m/>
    <m/>
    <x v="310"/>
    <m/>
    <m/>
  </r>
  <r>
    <m/>
    <x v="103"/>
    <x v="9"/>
    <s v="Chilli"/>
    <n v="3"/>
    <m/>
    <m/>
    <m/>
    <m/>
    <n v="3"/>
    <m/>
    <m/>
    <m/>
    <m/>
    <x v="296"/>
    <m/>
    <s v="https://en.mapy.cz/s/3sFuv"/>
  </r>
  <r>
    <m/>
    <x v="103"/>
    <x v="38"/>
    <s v="Indy"/>
    <n v="4"/>
    <m/>
    <n v="1"/>
    <m/>
    <m/>
    <n v="3"/>
    <m/>
    <m/>
    <m/>
    <m/>
    <x v="311"/>
    <m/>
    <m/>
  </r>
  <r>
    <m/>
    <x v="103"/>
    <x v="45"/>
    <s v="Ax"/>
    <n v="1"/>
    <m/>
    <m/>
    <m/>
    <m/>
    <n v="1"/>
    <m/>
    <m/>
    <m/>
    <m/>
    <x v="312"/>
    <m/>
    <m/>
  </r>
  <r>
    <m/>
    <x v="103"/>
    <x v="25"/>
    <s v="Iber"/>
    <n v="2"/>
    <m/>
    <n v="1"/>
    <m/>
    <m/>
    <n v="1"/>
    <m/>
    <m/>
    <m/>
    <m/>
    <x v="313"/>
    <m/>
    <m/>
  </r>
  <r>
    <m/>
    <x v="103"/>
    <x v="16"/>
    <s v="Art"/>
    <n v="4"/>
    <m/>
    <n v="3"/>
    <n v="1"/>
    <m/>
    <m/>
    <m/>
    <m/>
    <m/>
    <m/>
    <x v="314"/>
    <m/>
    <m/>
  </r>
  <r>
    <m/>
    <x v="104"/>
    <x v="46"/>
    <s v="Dřípatka"/>
    <n v="5"/>
    <n v="1"/>
    <m/>
    <m/>
    <n v="2"/>
    <n v="2"/>
    <m/>
    <m/>
    <m/>
    <m/>
    <x v="315"/>
    <m/>
    <m/>
  </r>
  <r>
    <m/>
    <x v="104"/>
    <x v="33"/>
    <s v="Matouš"/>
    <n v="6"/>
    <n v="1"/>
    <m/>
    <m/>
    <n v="1"/>
    <n v="4"/>
    <m/>
    <m/>
    <m/>
    <m/>
    <x v="316"/>
    <m/>
    <m/>
  </r>
  <r>
    <m/>
    <x v="104"/>
    <x v="32"/>
    <s v="Bety + Mia"/>
    <n v="2"/>
    <m/>
    <m/>
    <m/>
    <n v="1"/>
    <n v="1"/>
    <m/>
    <m/>
    <m/>
    <m/>
    <x v="8"/>
    <m/>
    <m/>
  </r>
  <r>
    <m/>
    <x v="105"/>
    <x v="20"/>
    <s v="Baron"/>
    <n v="2"/>
    <m/>
    <m/>
    <m/>
    <m/>
    <n v="2"/>
    <m/>
    <m/>
    <m/>
    <m/>
    <x v="317"/>
    <m/>
    <m/>
  </r>
  <r>
    <m/>
    <x v="106"/>
    <x v="20"/>
    <s v="Baron"/>
    <n v="2"/>
    <m/>
    <m/>
    <n v="1"/>
    <n v="1"/>
    <m/>
    <m/>
    <m/>
    <m/>
    <m/>
    <x v="318"/>
    <m/>
    <m/>
  </r>
  <r>
    <m/>
    <x v="107"/>
    <x v="22"/>
    <s v="Dea"/>
    <n v="5"/>
    <m/>
    <n v="1"/>
    <n v="3"/>
    <m/>
    <n v="1"/>
    <m/>
    <m/>
    <m/>
    <m/>
    <x v="319"/>
    <m/>
    <m/>
  </r>
  <r>
    <m/>
    <x v="107"/>
    <x v="40"/>
    <s v="Ema"/>
    <n v="1"/>
    <m/>
    <m/>
    <m/>
    <m/>
    <n v="1"/>
    <m/>
    <m/>
    <m/>
    <m/>
    <x v="320"/>
    <m/>
    <m/>
  </r>
  <r>
    <m/>
    <x v="107"/>
    <x v="20"/>
    <s v="Baron"/>
    <n v="1"/>
    <m/>
    <m/>
    <m/>
    <n v="1"/>
    <m/>
    <m/>
    <m/>
    <m/>
    <m/>
    <x v="321"/>
    <m/>
    <m/>
  </r>
  <r>
    <m/>
    <x v="108"/>
    <x v="33"/>
    <s v="Matouš"/>
    <n v="4"/>
    <m/>
    <n v="1"/>
    <n v="1"/>
    <m/>
    <n v="2"/>
    <m/>
    <m/>
    <m/>
    <m/>
    <x v="322"/>
    <m/>
    <m/>
  </r>
  <r>
    <m/>
    <x v="108"/>
    <x v="14"/>
    <s v="Bigi"/>
    <n v="1"/>
    <m/>
    <m/>
    <m/>
    <m/>
    <n v="1"/>
    <m/>
    <m/>
    <m/>
    <m/>
    <x v="323"/>
    <m/>
    <m/>
  </r>
  <r>
    <m/>
    <x v="108"/>
    <x v="22"/>
    <s v="Dea"/>
    <n v="5"/>
    <m/>
    <n v="2"/>
    <n v="2"/>
    <m/>
    <m/>
    <n v="1"/>
    <m/>
    <m/>
    <m/>
    <x v="324"/>
    <m/>
    <m/>
  </r>
  <r>
    <m/>
    <x v="108"/>
    <x v="9"/>
    <s v="Chilli"/>
    <n v="4"/>
    <m/>
    <n v="1"/>
    <m/>
    <m/>
    <n v="2"/>
    <n v="1"/>
    <m/>
    <m/>
    <m/>
    <x v="325"/>
    <m/>
    <s v="https://en.mapy.cz/s/3sGNI"/>
  </r>
  <r>
    <m/>
    <x v="108"/>
    <x v="20"/>
    <s v="Baron"/>
    <n v="4"/>
    <n v="1"/>
    <m/>
    <m/>
    <m/>
    <n v="2"/>
    <n v="1"/>
    <m/>
    <m/>
    <m/>
    <x v="326"/>
    <m/>
    <m/>
  </r>
  <r>
    <m/>
    <x v="108"/>
    <x v="47"/>
    <s v="Bačí"/>
    <n v="1"/>
    <n v="1"/>
    <m/>
    <m/>
    <m/>
    <m/>
    <m/>
    <m/>
    <m/>
    <m/>
    <x v="327"/>
    <m/>
    <m/>
  </r>
  <r>
    <m/>
    <x v="109"/>
    <x v="23"/>
    <s v="Denis"/>
    <n v="1"/>
    <m/>
    <m/>
    <m/>
    <m/>
    <m/>
    <n v="1"/>
    <m/>
    <m/>
    <m/>
    <x v="328"/>
    <m/>
    <m/>
  </r>
  <r>
    <m/>
    <x v="109"/>
    <x v="22"/>
    <s v="Dea"/>
    <n v="4"/>
    <m/>
    <m/>
    <m/>
    <m/>
    <n v="3"/>
    <n v="1"/>
    <m/>
    <m/>
    <m/>
    <x v="329"/>
    <m/>
    <m/>
  </r>
  <r>
    <m/>
    <x v="109"/>
    <x v="5"/>
    <s v="Bessie + Mína"/>
    <n v="7"/>
    <m/>
    <m/>
    <n v="2"/>
    <m/>
    <n v="2"/>
    <n v="3"/>
    <m/>
    <m/>
    <m/>
    <x v="330"/>
    <m/>
    <m/>
  </r>
  <r>
    <m/>
    <x v="109"/>
    <x v="1"/>
    <s v="Čaky"/>
    <n v="2"/>
    <m/>
    <m/>
    <m/>
    <m/>
    <m/>
    <n v="2"/>
    <m/>
    <m/>
    <m/>
    <x v="331"/>
    <m/>
    <m/>
  </r>
  <r>
    <m/>
    <x v="109"/>
    <x v="12"/>
    <s v="Bara"/>
    <n v="5"/>
    <m/>
    <m/>
    <m/>
    <n v="4"/>
    <n v="1"/>
    <m/>
    <m/>
    <m/>
    <m/>
    <x v="332"/>
    <m/>
    <m/>
  </r>
  <r>
    <m/>
    <x v="109"/>
    <x v="19"/>
    <s v="Rory"/>
    <n v="1"/>
    <m/>
    <m/>
    <m/>
    <m/>
    <n v="1"/>
    <m/>
    <m/>
    <m/>
    <m/>
    <x v="333"/>
    <m/>
    <m/>
  </r>
  <r>
    <m/>
    <x v="109"/>
    <x v="25"/>
    <s v="Iber"/>
    <n v="5"/>
    <m/>
    <m/>
    <m/>
    <m/>
    <n v="5"/>
    <m/>
    <m/>
    <m/>
    <m/>
    <x v="334"/>
    <m/>
    <m/>
  </r>
  <r>
    <m/>
    <x v="109"/>
    <x v="37"/>
    <s v="Bery"/>
    <n v="1"/>
    <m/>
    <n v="1"/>
    <m/>
    <m/>
    <m/>
    <m/>
    <m/>
    <m/>
    <m/>
    <x v="335"/>
    <m/>
    <m/>
  </r>
  <r>
    <m/>
    <x v="109"/>
    <x v="20"/>
    <s v="Baron"/>
    <n v="3"/>
    <m/>
    <m/>
    <m/>
    <n v="1"/>
    <n v="1"/>
    <m/>
    <n v="1"/>
    <m/>
    <m/>
    <x v="336"/>
    <m/>
    <m/>
  </r>
  <r>
    <m/>
    <x v="110"/>
    <x v="20"/>
    <s v="Baron"/>
    <n v="3"/>
    <m/>
    <m/>
    <n v="1"/>
    <m/>
    <m/>
    <n v="2"/>
    <m/>
    <m/>
    <m/>
    <x v="337"/>
    <m/>
    <m/>
  </r>
  <r>
    <m/>
    <x v="111"/>
    <x v="20"/>
    <s v="Baron"/>
    <n v="1"/>
    <m/>
    <m/>
    <m/>
    <m/>
    <n v="1"/>
    <m/>
    <m/>
    <m/>
    <m/>
    <x v="338"/>
    <m/>
    <m/>
  </r>
  <r>
    <m/>
    <x v="112"/>
    <x v="38"/>
    <s v="Indy"/>
    <n v="3"/>
    <m/>
    <m/>
    <m/>
    <m/>
    <n v="2"/>
    <n v="1"/>
    <m/>
    <m/>
    <m/>
    <x v="339"/>
    <m/>
    <m/>
  </r>
  <r>
    <m/>
    <x v="113"/>
    <x v="33"/>
    <s v="Matouš"/>
    <n v="6"/>
    <m/>
    <n v="2"/>
    <m/>
    <m/>
    <n v="3"/>
    <n v="1"/>
    <m/>
    <m/>
    <m/>
    <x v="340"/>
    <m/>
    <m/>
  </r>
  <r>
    <m/>
    <x v="113"/>
    <x v="1"/>
    <s v="Čaky"/>
    <n v="7"/>
    <m/>
    <n v="1"/>
    <n v="1"/>
    <n v="2"/>
    <n v="1"/>
    <m/>
    <n v="2"/>
    <m/>
    <m/>
    <x v="341"/>
    <m/>
    <m/>
  </r>
  <r>
    <m/>
    <x v="113"/>
    <x v="16"/>
    <s v="Art"/>
    <n v="4"/>
    <m/>
    <n v="3"/>
    <m/>
    <m/>
    <n v="1"/>
    <m/>
    <m/>
    <m/>
    <m/>
    <x v="342"/>
    <m/>
    <m/>
  </r>
  <r>
    <m/>
    <x v="113"/>
    <x v="9"/>
    <s v="Chilli"/>
    <n v="2"/>
    <m/>
    <m/>
    <n v="1"/>
    <m/>
    <n v="1"/>
    <m/>
    <m/>
    <m/>
    <m/>
    <x v="272"/>
    <m/>
    <m/>
  </r>
  <r>
    <m/>
    <x v="114"/>
    <x v="22"/>
    <s v="Dea"/>
    <n v="2"/>
    <m/>
    <m/>
    <m/>
    <m/>
    <n v="2"/>
    <m/>
    <m/>
    <m/>
    <m/>
    <x v="343"/>
    <m/>
    <s v="https://mapy.cz/s/3sLx9"/>
  </r>
  <r>
    <m/>
    <x v="114"/>
    <x v="1"/>
    <s v="Čaky"/>
    <n v="13"/>
    <m/>
    <m/>
    <n v="1"/>
    <n v="6"/>
    <n v="5"/>
    <n v="1"/>
    <m/>
    <m/>
    <m/>
    <x v="344"/>
    <m/>
    <m/>
  </r>
  <r>
    <m/>
    <x v="114"/>
    <x v="19"/>
    <s v="Rory"/>
    <n v="1"/>
    <m/>
    <n v="1"/>
    <m/>
    <m/>
    <m/>
    <m/>
    <m/>
    <m/>
    <m/>
    <x v="345"/>
    <m/>
    <m/>
  </r>
  <r>
    <m/>
    <x v="114"/>
    <x v="25"/>
    <s v="Iber"/>
    <n v="3"/>
    <m/>
    <n v="1"/>
    <n v="1"/>
    <m/>
    <n v="1"/>
    <m/>
    <m/>
    <m/>
    <m/>
    <x v="346"/>
    <m/>
    <m/>
  </r>
  <r>
    <m/>
    <x v="115"/>
    <x v="23"/>
    <s v="Denis"/>
    <n v="1"/>
    <m/>
    <m/>
    <m/>
    <m/>
    <n v="1"/>
    <m/>
    <m/>
    <m/>
    <m/>
    <x v="347"/>
    <m/>
    <m/>
  </r>
  <r>
    <m/>
    <x v="116"/>
    <x v="20"/>
    <s v="Baron"/>
    <n v="2"/>
    <m/>
    <n v="1"/>
    <m/>
    <m/>
    <m/>
    <n v="1"/>
    <m/>
    <m/>
    <m/>
    <x v="348"/>
    <m/>
    <m/>
  </r>
  <r>
    <m/>
    <x v="117"/>
    <x v="10"/>
    <s v="Lája + Bianca"/>
    <n v="20"/>
    <n v="1"/>
    <m/>
    <m/>
    <n v="7"/>
    <n v="5"/>
    <n v="2"/>
    <n v="5"/>
    <m/>
    <m/>
    <x v="349"/>
    <m/>
    <m/>
  </r>
  <r>
    <m/>
    <x v="117"/>
    <x v="9"/>
    <s v="Chilli"/>
    <n v="5"/>
    <m/>
    <m/>
    <m/>
    <n v="1"/>
    <n v="3"/>
    <n v="1"/>
    <m/>
    <m/>
    <m/>
    <x v="350"/>
    <m/>
    <m/>
  </r>
  <r>
    <m/>
    <x v="117"/>
    <x v="1"/>
    <s v="Čaky"/>
    <n v="2"/>
    <m/>
    <m/>
    <m/>
    <m/>
    <n v="2"/>
    <m/>
    <m/>
    <m/>
    <m/>
    <x v="351"/>
    <m/>
    <m/>
  </r>
  <r>
    <m/>
    <x v="117"/>
    <x v="13"/>
    <s v="Holly"/>
    <n v="2"/>
    <m/>
    <m/>
    <m/>
    <m/>
    <n v="2"/>
    <m/>
    <m/>
    <m/>
    <m/>
    <x v="351"/>
    <m/>
    <m/>
  </r>
  <r>
    <m/>
    <x v="117"/>
    <x v="14"/>
    <s v="Bigi"/>
    <n v="1"/>
    <m/>
    <m/>
    <m/>
    <m/>
    <n v="1"/>
    <m/>
    <m/>
    <m/>
    <m/>
    <x v="352"/>
    <m/>
    <m/>
  </r>
  <r>
    <m/>
    <x v="117"/>
    <x v="31"/>
    <s v="Cejlí"/>
    <n v="1"/>
    <m/>
    <m/>
    <m/>
    <m/>
    <n v="1"/>
    <m/>
    <m/>
    <m/>
    <m/>
    <x v="352"/>
    <m/>
    <m/>
  </r>
  <r>
    <m/>
    <x v="118"/>
    <x v="22"/>
    <s v="Dea"/>
    <n v="6"/>
    <n v="1"/>
    <m/>
    <n v="2"/>
    <n v="3"/>
    <m/>
    <m/>
    <m/>
    <m/>
    <m/>
    <x v="353"/>
    <m/>
    <m/>
  </r>
  <r>
    <m/>
    <x v="118"/>
    <x v="5"/>
    <s v="Bessie + Mína"/>
    <n v="12"/>
    <n v="1"/>
    <m/>
    <m/>
    <n v="5"/>
    <n v="3"/>
    <n v="2"/>
    <n v="1"/>
    <m/>
    <m/>
    <x v="354"/>
    <m/>
    <m/>
  </r>
  <r>
    <m/>
    <x v="118"/>
    <x v="16"/>
    <s v="Art"/>
    <n v="3"/>
    <m/>
    <m/>
    <m/>
    <m/>
    <n v="2"/>
    <n v="1"/>
    <m/>
    <m/>
    <m/>
    <x v="355"/>
    <m/>
    <s v="https://mapy.cz/zakladni?planovani-trasy&amp;x=14.0584458&amp;y=49.9677850&amp;z=14&amp;dim=5cf383de40a0136dab726b8b"/>
  </r>
  <r>
    <m/>
    <x v="118"/>
    <x v="12"/>
    <s v="Bara"/>
    <n v="10"/>
    <n v="1"/>
    <n v="2"/>
    <m/>
    <n v="6"/>
    <m/>
    <m/>
    <n v="1"/>
    <m/>
    <m/>
    <x v="356"/>
    <m/>
    <m/>
  </r>
  <r>
    <m/>
    <x v="118"/>
    <x v="25"/>
    <s v="Iber"/>
    <n v="5"/>
    <m/>
    <n v="3"/>
    <m/>
    <m/>
    <n v="1"/>
    <n v="1"/>
    <m/>
    <m/>
    <m/>
    <x v="357"/>
    <m/>
    <m/>
  </r>
  <r>
    <m/>
    <x v="118"/>
    <x v="27"/>
    <s v="Bára"/>
    <n v="2"/>
    <m/>
    <m/>
    <n v="1"/>
    <m/>
    <n v="1"/>
    <m/>
    <m/>
    <m/>
    <m/>
    <x v="358"/>
    <m/>
    <m/>
  </r>
  <r>
    <m/>
    <x v="119"/>
    <x v="10"/>
    <s v="Lája + Bianca"/>
    <n v="7"/>
    <m/>
    <n v="1"/>
    <m/>
    <n v="4"/>
    <n v="2"/>
    <m/>
    <m/>
    <m/>
    <m/>
    <x v="359"/>
    <m/>
    <m/>
  </r>
  <r>
    <m/>
    <x v="119"/>
    <x v="38"/>
    <s v="Indy"/>
    <n v="4"/>
    <m/>
    <m/>
    <m/>
    <m/>
    <n v="3"/>
    <m/>
    <n v="1"/>
    <m/>
    <m/>
    <x v="360"/>
    <m/>
    <m/>
  </r>
  <r>
    <m/>
    <x v="120"/>
    <x v="16"/>
    <s v="Art"/>
    <n v="1"/>
    <m/>
    <m/>
    <m/>
    <m/>
    <n v="1"/>
    <m/>
    <m/>
    <m/>
    <m/>
    <x v="361"/>
    <m/>
    <m/>
  </r>
  <r>
    <m/>
    <x v="120"/>
    <x v="1"/>
    <s v="Čaky"/>
    <n v="7"/>
    <m/>
    <m/>
    <m/>
    <n v="7"/>
    <m/>
    <m/>
    <m/>
    <m/>
    <m/>
    <x v="362"/>
    <m/>
    <m/>
  </r>
  <r>
    <m/>
    <x v="120"/>
    <x v="13"/>
    <s v="Holly"/>
    <n v="7"/>
    <m/>
    <m/>
    <m/>
    <n v="7"/>
    <m/>
    <m/>
    <m/>
    <m/>
    <m/>
    <x v="362"/>
    <m/>
    <m/>
  </r>
  <r>
    <m/>
    <x v="120"/>
    <x v="14"/>
    <s v="Bigi"/>
    <n v="7"/>
    <m/>
    <m/>
    <m/>
    <n v="7"/>
    <m/>
    <m/>
    <m/>
    <m/>
    <m/>
    <x v="362"/>
    <m/>
    <m/>
  </r>
  <r>
    <m/>
    <x v="120"/>
    <x v="31"/>
    <s v="Cejlí"/>
    <n v="4"/>
    <m/>
    <m/>
    <m/>
    <n v="4"/>
    <m/>
    <m/>
    <m/>
    <m/>
    <m/>
    <x v="363"/>
    <m/>
    <m/>
  </r>
  <r>
    <m/>
    <x v="121"/>
    <x v="1"/>
    <s v="Čaky"/>
    <n v="5"/>
    <m/>
    <m/>
    <n v="1"/>
    <n v="2"/>
    <n v="1"/>
    <m/>
    <n v="1"/>
    <m/>
    <m/>
    <x v="364"/>
    <m/>
    <m/>
  </r>
  <r>
    <m/>
    <x v="121"/>
    <x v="13"/>
    <s v="Holly"/>
    <n v="4"/>
    <m/>
    <m/>
    <n v="1"/>
    <n v="2"/>
    <m/>
    <m/>
    <n v="1"/>
    <m/>
    <m/>
    <x v="365"/>
    <m/>
    <m/>
  </r>
  <r>
    <m/>
    <x v="121"/>
    <x v="14"/>
    <s v="Bigi"/>
    <n v="4"/>
    <m/>
    <m/>
    <n v="1"/>
    <n v="2"/>
    <m/>
    <m/>
    <n v="1"/>
    <m/>
    <m/>
    <x v="365"/>
    <m/>
    <m/>
  </r>
  <r>
    <m/>
    <x v="121"/>
    <x v="31"/>
    <s v="Cejlí"/>
    <n v="4"/>
    <m/>
    <m/>
    <n v="1"/>
    <n v="2"/>
    <m/>
    <m/>
    <n v="1"/>
    <m/>
    <m/>
    <x v="365"/>
    <m/>
    <m/>
  </r>
  <r>
    <m/>
    <x v="122"/>
    <x v="18"/>
    <s v="Gimi"/>
    <n v="12"/>
    <m/>
    <m/>
    <m/>
    <m/>
    <n v="12"/>
    <m/>
    <m/>
    <m/>
    <m/>
    <x v="366"/>
    <m/>
    <m/>
  </r>
  <r>
    <m/>
    <x v="123"/>
    <x v="5"/>
    <s v="Bessie + Mína"/>
    <n v="3"/>
    <m/>
    <n v="1"/>
    <n v="1"/>
    <m/>
    <n v="1"/>
    <m/>
    <m/>
    <m/>
    <m/>
    <x v="367"/>
    <m/>
    <m/>
  </r>
  <r>
    <m/>
    <x v="124"/>
    <x v="40"/>
    <s v="Ema"/>
    <n v="1"/>
    <m/>
    <m/>
    <m/>
    <m/>
    <n v="1"/>
    <m/>
    <m/>
    <m/>
    <m/>
    <x v="368"/>
    <m/>
    <m/>
  </r>
  <r>
    <m/>
    <x v="125"/>
    <x v="5"/>
    <s v="Bessie + Mína"/>
    <n v="3"/>
    <m/>
    <m/>
    <m/>
    <m/>
    <n v="1"/>
    <n v="1"/>
    <m/>
    <m/>
    <n v="1"/>
    <x v="369"/>
    <m/>
    <m/>
  </r>
  <r>
    <m/>
    <x v="125"/>
    <x v="22"/>
    <s v="Dea"/>
    <n v="3"/>
    <m/>
    <m/>
    <m/>
    <m/>
    <n v="3"/>
    <m/>
    <m/>
    <m/>
    <m/>
    <x v="370"/>
    <m/>
    <m/>
  </r>
  <r>
    <m/>
    <x v="125"/>
    <x v="37"/>
    <s v="Bery"/>
    <n v="1"/>
    <m/>
    <n v="1"/>
    <m/>
    <m/>
    <m/>
    <m/>
    <m/>
    <m/>
    <m/>
    <x v="371"/>
    <m/>
    <m/>
  </r>
  <r>
    <m/>
    <x v="125"/>
    <x v="18"/>
    <s v="Gimi"/>
    <n v="2"/>
    <m/>
    <m/>
    <m/>
    <n v="1"/>
    <n v="1"/>
    <m/>
    <m/>
    <m/>
    <m/>
    <x v="266"/>
    <m/>
    <m/>
  </r>
  <r>
    <m/>
    <x v="125"/>
    <x v="16"/>
    <s v="Art"/>
    <n v="2"/>
    <m/>
    <m/>
    <m/>
    <m/>
    <n v="1"/>
    <n v="1"/>
    <m/>
    <m/>
    <m/>
    <x v="372"/>
    <m/>
    <m/>
  </r>
  <r>
    <m/>
    <x v="125"/>
    <x v="28"/>
    <s v="Hugo"/>
    <n v="2"/>
    <m/>
    <m/>
    <n v="1"/>
    <m/>
    <m/>
    <m/>
    <n v="1"/>
    <m/>
    <m/>
    <x v="373"/>
    <m/>
    <m/>
  </r>
  <r>
    <m/>
    <x v="125"/>
    <x v="33"/>
    <s v="Matouš"/>
    <n v="5"/>
    <m/>
    <n v="1"/>
    <m/>
    <m/>
    <n v="3"/>
    <n v="1"/>
    <m/>
    <m/>
    <m/>
    <x v="374"/>
    <m/>
    <m/>
  </r>
  <r>
    <m/>
    <x v="125"/>
    <x v="25"/>
    <s v="Iber"/>
    <n v="2"/>
    <m/>
    <m/>
    <m/>
    <m/>
    <n v="1"/>
    <m/>
    <n v="1"/>
    <m/>
    <m/>
    <x v="375"/>
    <m/>
    <m/>
  </r>
  <r>
    <m/>
    <x v="125"/>
    <x v="9"/>
    <s v="Chilli"/>
    <n v="6"/>
    <m/>
    <m/>
    <m/>
    <m/>
    <n v="4"/>
    <n v="2"/>
    <m/>
    <m/>
    <m/>
    <x v="376"/>
    <m/>
    <m/>
  </r>
  <r>
    <m/>
    <x v="126"/>
    <x v="12"/>
    <s v="Bara"/>
    <n v="3"/>
    <m/>
    <m/>
    <n v="2"/>
    <m/>
    <n v="1"/>
    <m/>
    <m/>
    <m/>
    <m/>
    <x v="377"/>
    <m/>
    <m/>
  </r>
  <r>
    <m/>
    <x v="127"/>
    <x v="5"/>
    <s v="Bessie + Mína"/>
    <n v="3"/>
    <m/>
    <n v="1"/>
    <m/>
    <m/>
    <n v="1"/>
    <n v="1"/>
    <m/>
    <m/>
    <m/>
    <x v="378"/>
    <m/>
    <m/>
  </r>
  <r>
    <m/>
    <x v="128"/>
    <x v="11"/>
    <s v="Beky"/>
    <n v="3"/>
    <m/>
    <n v="1"/>
    <m/>
    <m/>
    <n v="2"/>
    <m/>
    <m/>
    <m/>
    <m/>
    <x v="379"/>
    <m/>
    <m/>
  </r>
  <r>
    <m/>
    <x v="128"/>
    <x v="0"/>
    <s v="Abigail"/>
    <n v="3"/>
    <m/>
    <n v="1"/>
    <m/>
    <m/>
    <n v="2"/>
    <m/>
    <m/>
    <m/>
    <m/>
    <x v="379"/>
    <m/>
    <m/>
  </r>
  <r>
    <m/>
    <x v="129"/>
    <x v="22"/>
    <s v="Dea"/>
    <n v="10"/>
    <m/>
    <m/>
    <m/>
    <n v="6"/>
    <n v="2"/>
    <m/>
    <n v="2"/>
    <m/>
    <m/>
    <x v="380"/>
    <m/>
    <m/>
  </r>
  <r>
    <m/>
    <x v="129"/>
    <x v="1"/>
    <s v="Čaky"/>
    <n v="1"/>
    <m/>
    <m/>
    <m/>
    <m/>
    <m/>
    <n v="1"/>
    <m/>
    <m/>
    <m/>
    <x v="381"/>
    <m/>
    <m/>
  </r>
  <r>
    <m/>
    <x v="129"/>
    <x v="16"/>
    <s v="Art"/>
    <n v="6"/>
    <m/>
    <n v="1"/>
    <n v="2"/>
    <m/>
    <n v="2"/>
    <m/>
    <n v="1"/>
    <m/>
    <m/>
    <x v="382"/>
    <m/>
    <m/>
  </r>
  <r>
    <m/>
    <x v="129"/>
    <x v="14"/>
    <s v="Bigi"/>
    <n v="2"/>
    <m/>
    <m/>
    <m/>
    <m/>
    <n v="1"/>
    <n v="1"/>
    <m/>
    <m/>
    <m/>
    <x v="383"/>
    <m/>
    <m/>
  </r>
  <r>
    <m/>
    <x v="130"/>
    <x v="11"/>
    <s v="Beky"/>
    <n v="4"/>
    <m/>
    <m/>
    <m/>
    <m/>
    <n v="2"/>
    <n v="2"/>
    <m/>
    <m/>
    <m/>
    <x v="384"/>
    <m/>
    <m/>
  </r>
  <r>
    <m/>
    <x v="130"/>
    <x v="0"/>
    <s v="Abigail"/>
    <n v="4"/>
    <m/>
    <m/>
    <m/>
    <m/>
    <n v="2"/>
    <n v="2"/>
    <m/>
    <m/>
    <m/>
    <x v="384"/>
    <m/>
    <m/>
  </r>
  <r>
    <m/>
    <x v="131"/>
    <x v="40"/>
    <s v="Ema"/>
    <n v="1"/>
    <m/>
    <m/>
    <m/>
    <m/>
    <n v="1"/>
    <m/>
    <m/>
    <m/>
    <m/>
    <x v="205"/>
    <m/>
    <m/>
  </r>
  <r>
    <m/>
    <x v="132"/>
    <x v="10"/>
    <s v="Lája + Bianca"/>
    <n v="8"/>
    <m/>
    <m/>
    <n v="1"/>
    <m/>
    <n v="2"/>
    <n v="2"/>
    <n v="3"/>
    <m/>
    <m/>
    <x v="385"/>
    <m/>
    <m/>
  </r>
  <r>
    <m/>
    <x v="132"/>
    <x v="5"/>
    <s v="Bessie + Mína"/>
    <n v="1"/>
    <m/>
    <n v="1"/>
    <m/>
    <m/>
    <m/>
    <m/>
    <m/>
    <m/>
    <m/>
    <x v="386"/>
    <m/>
    <m/>
  </r>
  <r>
    <m/>
    <x v="132"/>
    <x v="28"/>
    <s v="Hugo"/>
    <n v="1"/>
    <m/>
    <m/>
    <n v="1"/>
    <m/>
    <m/>
    <m/>
    <m/>
    <m/>
    <m/>
    <x v="387"/>
    <m/>
    <m/>
  </r>
  <r>
    <m/>
    <x v="132"/>
    <x v="1"/>
    <s v="Čaky"/>
    <n v="1"/>
    <m/>
    <m/>
    <m/>
    <n v="1"/>
    <m/>
    <m/>
    <m/>
    <m/>
    <m/>
    <x v="388"/>
    <m/>
    <m/>
  </r>
  <r>
    <m/>
    <x v="132"/>
    <x v="27"/>
    <s v="Bára"/>
    <n v="1"/>
    <m/>
    <m/>
    <m/>
    <n v="1"/>
    <m/>
    <m/>
    <m/>
    <m/>
    <m/>
    <x v="388"/>
    <m/>
    <m/>
  </r>
  <r>
    <m/>
    <x v="132"/>
    <x v="23"/>
    <s v="Denis"/>
    <n v="1"/>
    <m/>
    <m/>
    <m/>
    <m/>
    <n v="1"/>
    <m/>
    <m/>
    <m/>
    <m/>
    <x v="389"/>
    <m/>
    <m/>
  </r>
  <r>
    <m/>
    <x v="133"/>
    <x v="14"/>
    <s v="Bigi"/>
    <n v="7"/>
    <n v="1"/>
    <m/>
    <n v="1"/>
    <n v="2"/>
    <n v="2"/>
    <n v="1"/>
    <m/>
    <m/>
    <m/>
    <x v="390"/>
    <m/>
    <m/>
  </r>
  <r>
    <m/>
    <x v="133"/>
    <x v="16"/>
    <s v="Art"/>
    <n v="10"/>
    <m/>
    <n v="1"/>
    <m/>
    <m/>
    <n v="8"/>
    <n v="1"/>
    <m/>
    <m/>
    <m/>
    <x v="391"/>
    <m/>
    <m/>
  </r>
  <r>
    <m/>
    <x v="133"/>
    <x v="22"/>
    <s v="Dea"/>
    <n v="2"/>
    <m/>
    <n v="1"/>
    <m/>
    <m/>
    <n v="1"/>
    <m/>
    <m/>
    <m/>
    <m/>
    <x v="392"/>
    <m/>
    <m/>
  </r>
  <r>
    <m/>
    <x v="133"/>
    <x v="10"/>
    <s v="Lája + Bianca"/>
    <n v="14"/>
    <m/>
    <n v="2"/>
    <n v="1"/>
    <m/>
    <n v="4"/>
    <n v="2"/>
    <n v="5"/>
    <m/>
    <m/>
    <x v="393"/>
    <m/>
    <m/>
  </r>
  <r>
    <m/>
    <x v="133"/>
    <x v="12"/>
    <s v="Bara"/>
    <n v="4"/>
    <m/>
    <n v="1"/>
    <m/>
    <n v="3"/>
    <m/>
    <m/>
    <m/>
    <m/>
    <m/>
    <x v="394"/>
    <m/>
    <m/>
  </r>
  <r>
    <m/>
    <x v="134"/>
    <x v="27"/>
    <s v="Bára"/>
    <n v="2"/>
    <m/>
    <m/>
    <n v="1"/>
    <m/>
    <n v="1"/>
    <m/>
    <m/>
    <m/>
    <m/>
    <x v="395"/>
    <m/>
    <m/>
  </r>
  <r>
    <m/>
    <x v="135"/>
    <x v="1"/>
    <s v="Čaky"/>
    <n v="3"/>
    <m/>
    <m/>
    <n v="1"/>
    <m/>
    <n v="2"/>
    <m/>
    <m/>
    <m/>
    <m/>
    <x v="396"/>
    <m/>
    <m/>
  </r>
  <r>
    <m/>
    <x v="135"/>
    <x v="40"/>
    <s v="Ema"/>
    <n v="1"/>
    <m/>
    <m/>
    <m/>
    <m/>
    <m/>
    <n v="1"/>
    <m/>
    <m/>
    <m/>
    <x v="397"/>
    <m/>
    <m/>
  </r>
  <r>
    <m/>
    <x v="135"/>
    <x v="22"/>
    <s v="Dea"/>
    <n v="8"/>
    <m/>
    <m/>
    <m/>
    <n v="6"/>
    <n v="2"/>
    <m/>
    <m/>
    <m/>
    <m/>
    <x v="398"/>
    <m/>
    <m/>
  </r>
  <r>
    <m/>
    <x v="135"/>
    <x v="5"/>
    <s v="Bessie + Mína"/>
    <n v="3"/>
    <m/>
    <n v="1"/>
    <m/>
    <m/>
    <n v="1"/>
    <n v="1"/>
    <m/>
    <m/>
    <m/>
    <x v="399"/>
    <m/>
    <m/>
  </r>
  <r>
    <m/>
    <x v="135"/>
    <x v="16"/>
    <s v="Art"/>
    <n v="2"/>
    <m/>
    <m/>
    <m/>
    <m/>
    <n v="1"/>
    <n v="1"/>
    <m/>
    <m/>
    <m/>
    <x v="400"/>
    <m/>
    <m/>
  </r>
  <r>
    <m/>
    <x v="136"/>
    <x v="40"/>
    <s v="Ema"/>
    <n v="2"/>
    <m/>
    <m/>
    <m/>
    <m/>
    <n v="2"/>
    <m/>
    <m/>
    <m/>
    <m/>
    <x v="401"/>
    <m/>
    <m/>
  </r>
  <r>
    <m/>
    <x v="136"/>
    <x v="25"/>
    <s v="Iber"/>
    <n v="10"/>
    <n v="2"/>
    <m/>
    <n v="1"/>
    <m/>
    <n v="7"/>
    <m/>
    <m/>
    <m/>
    <m/>
    <x v="402"/>
    <m/>
    <m/>
  </r>
  <r>
    <m/>
    <x v="136"/>
    <x v="9"/>
    <s v="Chilli"/>
    <n v="4"/>
    <m/>
    <n v="1"/>
    <m/>
    <m/>
    <n v="3"/>
    <m/>
    <m/>
    <m/>
    <m/>
    <x v="403"/>
    <m/>
    <m/>
  </r>
  <r>
    <m/>
    <x v="137"/>
    <x v="16"/>
    <s v="Art"/>
    <n v="1"/>
    <m/>
    <m/>
    <m/>
    <m/>
    <n v="1"/>
    <m/>
    <m/>
    <m/>
    <m/>
    <x v="18"/>
    <m/>
    <m/>
  </r>
  <r>
    <m/>
    <x v="138"/>
    <x v="22"/>
    <s v="Dea"/>
    <n v="3"/>
    <m/>
    <m/>
    <m/>
    <m/>
    <n v="2"/>
    <n v="1"/>
    <m/>
    <m/>
    <m/>
    <x v="355"/>
    <m/>
    <m/>
  </r>
  <r>
    <m/>
    <x v="139"/>
    <x v="14"/>
    <s v="Bigi"/>
    <n v="2"/>
    <m/>
    <m/>
    <m/>
    <m/>
    <n v="1"/>
    <n v="1"/>
    <m/>
    <m/>
    <m/>
    <x v="404"/>
    <m/>
    <m/>
  </r>
  <r>
    <m/>
    <x v="139"/>
    <x v="16"/>
    <s v="Art"/>
    <n v="6"/>
    <m/>
    <n v="1"/>
    <m/>
    <n v="4"/>
    <n v="1"/>
    <m/>
    <m/>
    <m/>
    <m/>
    <x v="405"/>
    <m/>
    <m/>
  </r>
  <r>
    <m/>
    <x v="139"/>
    <x v="22"/>
    <s v="Dea"/>
    <n v="8"/>
    <m/>
    <m/>
    <m/>
    <n v="4"/>
    <n v="3"/>
    <n v="1"/>
    <m/>
    <m/>
    <m/>
    <x v="406"/>
    <m/>
    <m/>
  </r>
  <r>
    <m/>
    <x v="139"/>
    <x v="48"/>
    <s v="Bela"/>
    <n v="2"/>
    <m/>
    <m/>
    <m/>
    <m/>
    <n v="1"/>
    <m/>
    <m/>
    <n v="1"/>
    <m/>
    <x v="407"/>
    <m/>
    <m/>
  </r>
  <r>
    <m/>
    <x v="140"/>
    <x v="1"/>
    <s v="Čaky"/>
    <n v="2"/>
    <m/>
    <m/>
    <m/>
    <n v="1"/>
    <n v="1"/>
    <m/>
    <m/>
    <m/>
    <m/>
    <x v="408"/>
    <m/>
    <m/>
  </r>
  <r>
    <m/>
    <x v="140"/>
    <x v="18"/>
    <s v="Gimi"/>
    <n v="2"/>
    <m/>
    <n v="1"/>
    <m/>
    <m/>
    <n v="1"/>
    <m/>
    <m/>
    <m/>
    <m/>
    <x v="409"/>
    <m/>
    <m/>
  </r>
  <r>
    <m/>
    <x v="140"/>
    <x v="10"/>
    <s v="Lája + Bianca"/>
    <n v="3"/>
    <m/>
    <m/>
    <n v="1"/>
    <m/>
    <n v="1"/>
    <m/>
    <n v="1"/>
    <m/>
    <m/>
    <x v="410"/>
    <m/>
    <m/>
  </r>
  <r>
    <m/>
    <x v="140"/>
    <x v="38"/>
    <s v="Indy"/>
    <n v="7"/>
    <m/>
    <m/>
    <m/>
    <m/>
    <n v="3"/>
    <n v="3"/>
    <n v="1"/>
    <m/>
    <m/>
    <x v="411"/>
    <m/>
    <m/>
  </r>
  <r>
    <m/>
    <x v="140"/>
    <x v="16"/>
    <s v="Art"/>
    <n v="7"/>
    <m/>
    <n v="1"/>
    <m/>
    <n v="3"/>
    <n v="2"/>
    <m/>
    <n v="1"/>
    <m/>
    <m/>
    <x v="412"/>
    <m/>
    <m/>
  </r>
  <r>
    <m/>
    <x v="140"/>
    <x v="5"/>
    <s v="Bessie + Mína"/>
    <n v="15"/>
    <m/>
    <n v="1"/>
    <m/>
    <n v="11"/>
    <n v="2"/>
    <m/>
    <n v="1"/>
    <m/>
    <m/>
    <x v="413"/>
    <m/>
    <m/>
  </r>
  <r>
    <m/>
    <x v="141"/>
    <x v="22"/>
    <s v="Dea"/>
    <n v="4"/>
    <m/>
    <n v="2"/>
    <n v="2"/>
    <m/>
    <m/>
    <m/>
    <m/>
    <m/>
    <m/>
    <x v="414"/>
    <m/>
    <m/>
  </r>
  <r>
    <m/>
    <x v="141"/>
    <x v="13"/>
    <s v="Holly"/>
    <n v="3"/>
    <m/>
    <n v="1"/>
    <m/>
    <m/>
    <n v="1"/>
    <n v="1"/>
    <m/>
    <m/>
    <m/>
    <x v="415"/>
    <m/>
    <m/>
  </r>
  <r>
    <m/>
    <x v="141"/>
    <x v="38"/>
    <s v="Indy"/>
    <n v="3"/>
    <m/>
    <m/>
    <m/>
    <m/>
    <n v="1"/>
    <n v="2"/>
    <m/>
    <m/>
    <m/>
    <x v="416"/>
    <m/>
    <m/>
  </r>
  <r>
    <m/>
    <x v="141"/>
    <x v="33"/>
    <s v="Matouš"/>
    <n v="4"/>
    <m/>
    <m/>
    <m/>
    <m/>
    <n v="2"/>
    <n v="2"/>
    <m/>
    <m/>
    <m/>
    <x v="417"/>
    <m/>
    <m/>
  </r>
  <r>
    <m/>
    <x v="141"/>
    <x v="16"/>
    <s v="Art"/>
    <n v="11"/>
    <m/>
    <m/>
    <m/>
    <n v="5"/>
    <n v="3"/>
    <n v="2"/>
    <n v="1"/>
    <m/>
    <m/>
    <x v="418"/>
    <m/>
    <m/>
  </r>
  <r>
    <m/>
    <x v="141"/>
    <x v="12"/>
    <s v="Bara"/>
    <n v="27"/>
    <m/>
    <n v="2"/>
    <n v="3"/>
    <n v="10"/>
    <n v="6"/>
    <n v="2"/>
    <n v="4"/>
    <m/>
    <m/>
    <x v="419"/>
    <s v="Radhošť, Lysá hora, Velký Javorník, Hotel Čeladenka - psi smí jen na zahrádku"/>
    <m/>
  </r>
  <r>
    <m/>
    <x v="141"/>
    <x v="49"/>
    <s v="Ctisl. + Bramína"/>
    <n v="3"/>
    <m/>
    <n v="1"/>
    <m/>
    <m/>
    <n v="2"/>
    <m/>
    <m/>
    <m/>
    <m/>
    <x v="420"/>
    <m/>
    <m/>
  </r>
  <r>
    <m/>
    <x v="141"/>
    <x v="25"/>
    <s v="Iber"/>
    <n v="4"/>
    <m/>
    <n v="1"/>
    <m/>
    <m/>
    <n v="3"/>
    <m/>
    <m/>
    <m/>
    <m/>
    <x v="421"/>
    <m/>
    <m/>
  </r>
  <r>
    <m/>
    <x v="141"/>
    <x v="20"/>
    <s v="Baron"/>
    <n v="8"/>
    <m/>
    <n v="1"/>
    <m/>
    <n v="1"/>
    <n v="5"/>
    <n v="1"/>
    <m/>
    <m/>
    <m/>
    <x v="422"/>
    <m/>
    <m/>
  </r>
  <r>
    <m/>
    <x v="142"/>
    <x v="23"/>
    <s v="Denis"/>
    <n v="5"/>
    <m/>
    <m/>
    <n v="1"/>
    <m/>
    <n v="2"/>
    <n v="1"/>
    <n v="1"/>
    <m/>
    <m/>
    <x v="423"/>
    <m/>
    <m/>
  </r>
  <r>
    <m/>
    <x v="143"/>
    <x v="22"/>
    <s v="Dea"/>
    <n v="1"/>
    <m/>
    <m/>
    <m/>
    <m/>
    <m/>
    <n v="1"/>
    <m/>
    <m/>
    <m/>
    <x v="424"/>
    <m/>
    <m/>
  </r>
  <r>
    <m/>
    <x v="144"/>
    <x v="20"/>
    <s v="Baron"/>
    <n v="4"/>
    <m/>
    <m/>
    <m/>
    <n v="2"/>
    <n v="2"/>
    <m/>
    <m/>
    <m/>
    <m/>
    <x v="425"/>
    <m/>
    <m/>
  </r>
  <r>
    <m/>
    <x v="145"/>
    <x v="33"/>
    <s v="Matouš"/>
    <n v="4"/>
    <m/>
    <m/>
    <m/>
    <m/>
    <n v="4"/>
    <m/>
    <m/>
    <m/>
    <m/>
    <x v="426"/>
    <m/>
    <m/>
  </r>
  <r>
    <m/>
    <x v="146"/>
    <x v="16"/>
    <s v="Art"/>
    <n v="5"/>
    <m/>
    <m/>
    <n v="1"/>
    <n v="2"/>
    <n v="2"/>
    <m/>
    <m/>
    <m/>
    <m/>
    <x v="427"/>
    <m/>
    <m/>
  </r>
  <r>
    <m/>
    <x v="147"/>
    <x v="40"/>
    <s v="Ema"/>
    <n v="1"/>
    <m/>
    <m/>
    <m/>
    <m/>
    <n v="1"/>
    <m/>
    <m/>
    <m/>
    <m/>
    <x v="428"/>
    <m/>
    <m/>
  </r>
  <r>
    <m/>
    <x v="147"/>
    <x v="16"/>
    <s v="Art"/>
    <n v="6"/>
    <m/>
    <m/>
    <m/>
    <n v="4"/>
    <n v="2"/>
    <m/>
    <m/>
    <m/>
    <m/>
    <x v="429"/>
    <m/>
    <m/>
  </r>
  <r>
    <m/>
    <x v="147"/>
    <x v="20"/>
    <s v="Baron"/>
    <n v="5"/>
    <m/>
    <n v="2"/>
    <m/>
    <m/>
    <n v="3"/>
    <m/>
    <m/>
    <m/>
    <m/>
    <x v="430"/>
    <m/>
    <m/>
  </r>
  <r>
    <m/>
    <x v="147"/>
    <x v="48"/>
    <s v="Bela"/>
    <n v="2"/>
    <n v="1"/>
    <m/>
    <m/>
    <n v="1"/>
    <m/>
    <m/>
    <m/>
    <m/>
    <m/>
    <x v="431"/>
    <m/>
    <m/>
  </r>
  <r>
    <m/>
    <x v="148"/>
    <x v="16"/>
    <s v="Art"/>
    <n v="4"/>
    <m/>
    <m/>
    <m/>
    <m/>
    <n v="3"/>
    <n v="1"/>
    <m/>
    <m/>
    <m/>
    <x v="432"/>
    <m/>
    <s v="Vary lidl"/>
  </r>
  <r>
    <m/>
    <x v="148"/>
    <x v="12"/>
    <s v="Bara"/>
    <n v="6"/>
    <m/>
    <n v="1"/>
    <m/>
    <n v="2"/>
    <n v="1"/>
    <n v="1"/>
    <n v="1"/>
    <m/>
    <m/>
    <x v="433"/>
    <m/>
    <s v="Trasa 8,2 km • 3:02 hod"/>
  </r>
  <r>
    <m/>
    <x v="148"/>
    <x v="23"/>
    <s v="Denis"/>
    <n v="1"/>
    <m/>
    <m/>
    <m/>
    <m/>
    <n v="1"/>
    <m/>
    <m/>
    <m/>
    <m/>
    <x v="434"/>
    <m/>
    <s v="https://mapy.cz/s/3vwvo"/>
  </r>
  <r>
    <m/>
    <x v="149"/>
    <x v="12"/>
    <s v="Bara"/>
    <n v="1"/>
    <m/>
    <n v="1"/>
    <m/>
    <m/>
    <m/>
    <m/>
    <m/>
    <m/>
    <m/>
    <x v="435"/>
    <m/>
    <m/>
  </r>
  <r>
    <m/>
    <x v="149"/>
    <x v="5"/>
    <s v="Bessie + Mína"/>
    <n v="7"/>
    <m/>
    <n v="2"/>
    <n v="2"/>
    <m/>
    <n v="2"/>
    <n v="1"/>
    <m/>
    <m/>
    <m/>
    <x v="436"/>
    <m/>
    <m/>
  </r>
  <r>
    <m/>
    <x v="149"/>
    <x v="40"/>
    <s v="Ema"/>
    <n v="7"/>
    <m/>
    <n v="1"/>
    <m/>
    <m/>
    <n v="3"/>
    <m/>
    <n v="3"/>
    <m/>
    <m/>
    <x v="437"/>
    <m/>
    <m/>
  </r>
  <r>
    <m/>
    <x v="150"/>
    <x v="0"/>
    <s v="Abigail"/>
    <n v="1"/>
    <m/>
    <m/>
    <n v="1"/>
    <m/>
    <m/>
    <m/>
    <m/>
    <m/>
    <m/>
    <x v="438"/>
    <m/>
    <m/>
  </r>
  <r>
    <m/>
    <x v="150"/>
    <x v="5"/>
    <s v="Bessie + Mína"/>
    <n v="4"/>
    <m/>
    <m/>
    <m/>
    <m/>
    <n v="4"/>
    <m/>
    <m/>
    <m/>
    <m/>
    <x v="439"/>
    <m/>
    <m/>
  </r>
  <r>
    <m/>
    <x v="151"/>
    <x v="5"/>
    <s v="Bessie + Mína"/>
    <n v="7"/>
    <n v="1"/>
    <m/>
    <n v="1"/>
    <m/>
    <n v="3"/>
    <n v="2"/>
    <m/>
    <m/>
    <m/>
    <x v="440"/>
    <m/>
    <m/>
  </r>
  <r>
    <m/>
    <x v="151"/>
    <x v="22"/>
    <s v="Dea"/>
    <n v="10"/>
    <m/>
    <n v="2"/>
    <n v="2"/>
    <m/>
    <n v="5"/>
    <m/>
    <n v="1"/>
    <m/>
    <m/>
    <x v="441"/>
    <m/>
    <m/>
  </r>
  <r>
    <m/>
    <x v="152"/>
    <x v="10"/>
    <s v="Lája + Bianca"/>
    <n v="8"/>
    <m/>
    <m/>
    <n v="1"/>
    <m/>
    <n v="6"/>
    <n v="1"/>
    <m/>
    <m/>
    <m/>
    <x v="442"/>
    <m/>
    <m/>
  </r>
  <r>
    <m/>
    <x v="152"/>
    <x v="22"/>
    <s v="Dea"/>
    <n v="8"/>
    <m/>
    <n v="1"/>
    <m/>
    <m/>
    <n v="5"/>
    <n v="2"/>
    <m/>
    <m/>
    <m/>
    <x v="443"/>
    <m/>
    <m/>
  </r>
  <r>
    <m/>
    <x v="153"/>
    <x v="34"/>
    <s v="Lex"/>
    <n v="1"/>
    <m/>
    <m/>
    <m/>
    <m/>
    <m/>
    <n v="1"/>
    <m/>
    <m/>
    <m/>
    <x v="444"/>
    <m/>
    <m/>
  </r>
  <r>
    <m/>
    <x v="153"/>
    <x v="18"/>
    <s v="Gimi"/>
    <n v="2"/>
    <m/>
    <m/>
    <n v="1"/>
    <m/>
    <n v="1"/>
    <m/>
    <m/>
    <m/>
    <m/>
    <x v="445"/>
    <m/>
    <m/>
  </r>
  <r>
    <m/>
    <x v="153"/>
    <x v="10"/>
    <s v="Lája + Bianca"/>
    <n v="9"/>
    <m/>
    <m/>
    <m/>
    <m/>
    <n v="6"/>
    <m/>
    <n v="3"/>
    <m/>
    <m/>
    <x v="446"/>
    <m/>
    <m/>
  </r>
  <r>
    <m/>
    <x v="153"/>
    <x v="16"/>
    <s v="Art"/>
    <n v="6"/>
    <m/>
    <n v="3"/>
    <m/>
    <m/>
    <n v="2"/>
    <n v="1"/>
    <m/>
    <m/>
    <m/>
    <x v="447"/>
    <m/>
    <s v="https://mapy.cz/s/3wuvk"/>
  </r>
  <r>
    <m/>
    <x v="153"/>
    <x v="22"/>
    <s v="Dea"/>
    <n v="9"/>
    <m/>
    <n v="1"/>
    <n v="2"/>
    <m/>
    <n v="6"/>
    <m/>
    <m/>
    <m/>
    <m/>
    <x v="448"/>
    <m/>
    <m/>
  </r>
  <r>
    <m/>
    <x v="153"/>
    <x v="9"/>
    <s v="Chilli"/>
    <n v="10"/>
    <m/>
    <n v="1"/>
    <n v="1"/>
    <n v="4"/>
    <n v="4"/>
    <m/>
    <m/>
    <m/>
    <m/>
    <x v="449"/>
    <m/>
    <m/>
  </r>
  <r>
    <m/>
    <x v="154"/>
    <x v="13"/>
    <s v="Holly"/>
    <n v="3"/>
    <m/>
    <m/>
    <m/>
    <m/>
    <n v="3"/>
    <m/>
    <m/>
    <m/>
    <m/>
    <x v="450"/>
    <m/>
    <m/>
  </r>
  <r>
    <m/>
    <x v="154"/>
    <x v="22"/>
    <s v="Dea"/>
    <n v="6"/>
    <m/>
    <m/>
    <n v="3"/>
    <m/>
    <n v="2"/>
    <n v="1"/>
    <m/>
    <m/>
    <m/>
    <x v="451"/>
    <m/>
    <m/>
  </r>
  <r>
    <m/>
    <x v="155"/>
    <x v="50"/>
    <s v="Ebby"/>
    <n v="5"/>
    <n v="1"/>
    <m/>
    <m/>
    <n v="1"/>
    <n v="2"/>
    <n v="1"/>
    <m/>
    <m/>
    <m/>
    <x v="452"/>
    <m/>
    <m/>
  </r>
  <r>
    <m/>
    <x v="156"/>
    <x v="12"/>
    <s v="Bara"/>
    <n v="12"/>
    <m/>
    <m/>
    <n v="1"/>
    <n v="8"/>
    <n v="1"/>
    <m/>
    <n v="2"/>
    <m/>
    <m/>
    <x v="453"/>
    <m/>
    <m/>
  </r>
  <r>
    <m/>
    <x v="156"/>
    <x v="33"/>
    <s v="Matouš"/>
    <n v="8"/>
    <m/>
    <n v="1"/>
    <m/>
    <m/>
    <n v="6"/>
    <n v="1"/>
    <m/>
    <m/>
    <m/>
    <x v="454"/>
    <m/>
    <m/>
  </r>
  <r>
    <m/>
    <x v="157"/>
    <x v="28"/>
    <s v="Hugo"/>
    <n v="1"/>
    <m/>
    <m/>
    <m/>
    <m/>
    <m/>
    <n v="1"/>
    <m/>
    <m/>
    <m/>
    <x v="455"/>
    <m/>
    <m/>
  </r>
  <r>
    <m/>
    <x v="157"/>
    <x v="12"/>
    <s v="Bara"/>
    <n v="4"/>
    <m/>
    <m/>
    <m/>
    <m/>
    <n v="2"/>
    <n v="2"/>
    <m/>
    <m/>
    <m/>
    <x v="456"/>
    <m/>
    <m/>
  </r>
  <r>
    <m/>
    <x v="158"/>
    <x v="27"/>
    <s v="Bára"/>
    <n v="1"/>
    <m/>
    <m/>
    <m/>
    <m/>
    <n v="1"/>
    <m/>
    <m/>
    <m/>
    <m/>
    <x v="457"/>
    <m/>
    <m/>
  </r>
  <r>
    <m/>
    <x v="158"/>
    <x v="13"/>
    <s v="Holly"/>
    <n v="3"/>
    <m/>
    <m/>
    <n v="1"/>
    <m/>
    <n v="2"/>
    <m/>
    <m/>
    <m/>
    <m/>
    <x v="458"/>
    <m/>
    <m/>
  </r>
  <r>
    <m/>
    <x v="158"/>
    <x v="10"/>
    <s v="Lája + Bianca"/>
    <n v="5"/>
    <m/>
    <m/>
    <m/>
    <m/>
    <n v="4"/>
    <n v="1"/>
    <m/>
    <m/>
    <m/>
    <x v="459"/>
    <m/>
    <m/>
  </r>
  <r>
    <m/>
    <x v="159"/>
    <x v="20"/>
    <s v="Baron"/>
    <n v="6"/>
    <m/>
    <m/>
    <m/>
    <n v="1"/>
    <n v="3"/>
    <n v="1"/>
    <n v="1"/>
    <m/>
    <m/>
    <x v="460"/>
    <m/>
    <m/>
  </r>
  <r>
    <m/>
    <x v="159"/>
    <x v="38"/>
    <s v="Indy"/>
    <n v="1"/>
    <m/>
    <m/>
    <m/>
    <m/>
    <n v="1"/>
    <m/>
    <m/>
    <m/>
    <m/>
    <x v="461"/>
    <m/>
    <m/>
  </r>
  <r>
    <m/>
    <x v="160"/>
    <x v="25"/>
    <s v="Iber"/>
    <n v="5"/>
    <m/>
    <n v="1"/>
    <n v="1"/>
    <m/>
    <n v="3"/>
    <m/>
    <m/>
    <m/>
    <m/>
    <x v="462"/>
    <m/>
    <m/>
  </r>
  <r>
    <m/>
    <x v="161"/>
    <x v="18"/>
    <s v="Gimi"/>
    <n v="4"/>
    <m/>
    <m/>
    <m/>
    <m/>
    <n v="4"/>
    <m/>
    <m/>
    <m/>
    <m/>
    <x v="463"/>
    <m/>
    <m/>
  </r>
  <r>
    <m/>
    <x v="161"/>
    <x v="30"/>
    <s v="Hugo"/>
    <n v="1"/>
    <m/>
    <m/>
    <n v="1"/>
    <m/>
    <m/>
    <m/>
    <m/>
    <m/>
    <m/>
    <x v="102"/>
    <m/>
    <s v="https://mapy.cz/s/3xc0p"/>
  </r>
  <r>
    <m/>
    <x v="161"/>
    <x v="5"/>
    <s v="Bessie + Mína"/>
    <n v="3"/>
    <m/>
    <m/>
    <m/>
    <m/>
    <n v="1"/>
    <n v="2"/>
    <m/>
    <m/>
    <m/>
    <x v="464"/>
    <m/>
    <s v="https://mapy.cz/s/3xbsd"/>
  </r>
  <r>
    <m/>
    <x v="161"/>
    <x v="11"/>
    <s v="Beky"/>
    <n v="2"/>
    <m/>
    <m/>
    <m/>
    <m/>
    <m/>
    <n v="2"/>
    <m/>
    <m/>
    <m/>
    <x v="465"/>
    <m/>
    <m/>
  </r>
  <r>
    <m/>
    <x v="161"/>
    <x v="33"/>
    <s v="Matouš"/>
    <n v="6"/>
    <m/>
    <m/>
    <m/>
    <m/>
    <n v="5"/>
    <n v="1"/>
    <m/>
    <m/>
    <m/>
    <x v="466"/>
    <m/>
    <m/>
  </r>
  <r>
    <m/>
    <x v="161"/>
    <x v="41"/>
    <s v="Anka + Brebta"/>
    <n v="2"/>
    <m/>
    <m/>
    <m/>
    <m/>
    <n v="1"/>
    <m/>
    <n v="1"/>
    <m/>
    <m/>
    <x v="467"/>
    <m/>
    <m/>
  </r>
  <r>
    <m/>
    <x v="161"/>
    <x v="48"/>
    <s v="Bela"/>
    <n v="2"/>
    <m/>
    <m/>
    <m/>
    <m/>
    <n v="1"/>
    <m/>
    <n v="1"/>
    <m/>
    <m/>
    <x v="467"/>
    <m/>
    <m/>
  </r>
  <r>
    <m/>
    <x v="162"/>
    <x v="13"/>
    <s v="Holly"/>
    <n v="2"/>
    <m/>
    <m/>
    <m/>
    <m/>
    <n v="1"/>
    <n v="1"/>
    <m/>
    <m/>
    <m/>
    <x v="404"/>
    <m/>
    <m/>
  </r>
  <r>
    <m/>
    <x v="162"/>
    <x v="16"/>
    <s v="Art"/>
    <n v="8"/>
    <m/>
    <n v="2"/>
    <n v="1"/>
    <m/>
    <n v="5"/>
    <m/>
    <m/>
    <m/>
    <m/>
    <x v="468"/>
    <m/>
    <m/>
  </r>
  <r>
    <m/>
    <x v="162"/>
    <x v="50"/>
    <s v="Ebby"/>
    <n v="3"/>
    <m/>
    <m/>
    <m/>
    <n v="1"/>
    <n v="1"/>
    <n v="1"/>
    <m/>
    <m/>
    <m/>
    <x v="469"/>
    <m/>
    <m/>
  </r>
  <r>
    <m/>
    <x v="162"/>
    <x v="22"/>
    <s v="Dea"/>
    <n v="9"/>
    <m/>
    <m/>
    <n v="1"/>
    <n v="7"/>
    <n v="1"/>
    <m/>
    <m/>
    <m/>
    <m/>
    <x v="470"/>
    <m/>
    <m/>
  </r>
  <r>
    <m/>
    <x v="162"/>
    <x v="10"/>
    <s v="Lája + Bianca"/>
    <n v="9"/>
    <m/>
    <m/>
    <n v="2"/>
    <n v="4"/>
    <n v="2"/>
    <n v="1"/>
    <m/>
    <m/>
    <m/>
    <x v="471"/>
    <m/>
    <m/>
  </r>
  <r>
    <m/>
    <x v="162"/>
    <x v="7"/>
    <s v="Argo"/>
    <n v="1"/>
    <m/>
    <n v="1"/>
    <m/>
    <m/>
    <m/>
    <m/>
    <m/>
    <m/>
    <m/>
    <x v="472"/>
    <m/>
    <m/>
  </r>
  <r>
    <m/>
    <x v="163"/>
    <x v="7"/>
    <s v="Argo"/>
    <n v="8"/>
    <m/>
    <n v="2"/>
    <n v="1"/>
    <n v="1"/>
    <n v="2"/>
    <n v="1"/>
    <n v="1"/>
    <m/>
    <m/>
    <x v="473"/>
    <m/>
    <m/>
  </r>
  <r>
    <m/>
    <x v="163"/>
    <x v="22"/>
    <s v="Dea"/>
    <n v="6"/>
    <m/>
    <m/>
    <n v="1"/>
    <n v="5"/>
    <m/>
    <m/>
    <m/>
    <m/>
    <m/>
    <x v="474"/>
    <m/>
    <m/>
  </r>
  <r>
    <m/>
    <x v="164"/>
    <x v="13"/>
    <s v="Holly"/>
    <n v="3"/>
    <n v="1"/>
    <m/>
    <m/>
    <n v="1"/>
    <n v="1"/>
    <m/>
    <m/>
    <m/>
    <m/>
    <x v="475"/>
    <m/>
    <m/>
  </r>
  <r>
    <m/>
    <x v="164"/>
    <x v="1"/>
    <s v="Čaky"/>
    <n v="7"/>
    <m/>
    <m/>
    <n v="1"/>
    <n v="5"/>
    <n v="1"/>
    <m/>
    <m/>
    <m/>
    <m/>
    <x v="476"/>
    <m/>
    <m/>
  </r>
  <r>
    <m/>
    <x v="164"/>
    <x v="22"/>
    <s v="Dea"/>
    <n v="6"/>
    <m/>
    <m/>
    <n v="1"/>
    <n v="1"/>
    <n v="2"/>
    <m/>
    <n v="2"/>
    <m/>
    <m/>
    <x v="477"/>
    <m/>
    <m/>
  </r>
  <r>
    <m/>
    <x v="165"/>
    <x v="13"/>
    <s v="Holly"/>
    <n v="3"/>
    <m/>
    <m/>
    <m/>
    <n v="1"/>
    <m/>
    <m/>
    <n v="2"/>
    <m/>
    <m/>
    <x v="478"/>
    <m/>
    <m/>
  </r>
  <r>
    <m/>
    <x v="165"/>
    <x v="1"/>
    <s v="Čaky"/>
    <n v="14"/>
    <m/>
    <n v="1"/>
    <m/>
    <n v="10"/>
    <n v="2"/>
    <m/>
    <n v="1"/>
    <m/>
    <m/>
    <x v="479"/>
    <m/>
    <m/>
  </r>
  <r>
    <m/>
    <x v="165"/>
    <x v="5"/>
    <s v="Bessie + Mína"/>
    <n v="1"/>
    <m/>
    <m/>
    <m/>
    <m/>
    <n v="1"/>
    <m/>
    <m/>
    <m/>
    <m/>
    <x v="480"/>
    <m/>
    <m/>
  </r>
  <r>
    <m/>
    <x v="165"/>
    <x v="10"/>
    <s v="Lája + Bianca"/>
    <n v="4"/>
    <m/>
    <m/>
    <m/>
    <m/>
    <n v="2"/>
    <n v="2"/>
    <m/>
    <m/>
    <m/>
    <x v="481"/>
    <m/>
    <m/>
  </r>
  <r>
    <m/>
    <x v="165"/>
    <x v="5"/>
    <s v="Bessie + Mína"/>
    <n v="4"/>
    <m/>
    <n v="1"/>
    <n v="1"/>
    <m/>
    <n v="2"/>
    <m/>
    <m/>
    <m/>
    <m/>
    <x v="482"/>
    <m/>
    <m/>
  </r>
  <r>
    <m/>
    <x v="166"/>
    <x v="28"/>
    <s v="Hugo"/>
    <n v="5"/>
    <n v="1"/>
    <n v="1"/>
    <m/>
    <n v="2"/>
    <n v="1"/>
    <m/>
    <m/>
    <m/>
    <m/>
    <x v="483"/>
    <m/>
    <m/>
  </r>
  <r>
    <m/>
    <x v="166"/>
    <x v="22"/>
    <s v="Dea"/>
    <n v="7"/>
    <m/>
    <m/>
    <n v="1"/>
    <m/>
    <n v="4"/>
    <m/>
    <n v="2"/>
    <m/>
    <m/>
    <x v="484"/>
    <m/>
    <m/>
  </r>
  <r>
    <m/>
    <x v="166"/>
    <x v="13"/>
    <s v="Holly"/>
    <n v="2"/>
    <m/>
    <m/>
    <m/>
    <n v="2"/>
    <m/>
    <m/>
    <m/>
    <m/>
    <m/>
    <x v="485"/>
    <m/>
    <m/>
  </r>
  <r>
    <m/>
    <x v="166"/>
    <x v="19"/>
    <s v="Rory"/>
    <n v="1"/>
    <m/>
    <m/>
    <m/>
    <m/>
    <n v="1"/>
    <m/>
    <m/>
    <m/>
    <m/>
    <x v="486"/>
    <m/>
    <m/>
  </r>
  <r>
    <m/>
    <x v="166"/>
    <x v="20"/>
    <s v="Baron"/>
    <n v="3"/>
    <m/>
    <n v="2"/>
    <m/>
    <m/>
    <m/>
    <n v="1"/>
    <m/>
    <m/>
    <m/>
    <x v="487"/>
    <m/>
    <m/>
  </r>
  <r>
    <m/>
    <x v="167"/>
    <x v="13"/>
    <s v="Holly"/>
    <n v="7"/>
    <m/>
    <m/>
    <m/>
    <n v="7"/>
    <m/>
    <m/>
    <m/>
    <m/>
    <m/>
    <x v="488"/>
    <m/>
    <m/>
  </r>
  <r>
    <m/>
    <x v="167"/>
    <x v="28"/>
    <s v="Hugo"/>
    <n v="4"/>
    <m/>
    <n v="2"/>
    <n v="1"/>
    <m/>
    <n v="1"/>
    <m/>
    <m/>
    <m/>
    <m/>
    <x v="489"/>
    <m/>
    <m/>
  </r>
  <r>
    <m/>
    <x v="168"/>
    <x v="16"/>
    <s v="Art"/>
    <n v="3"/>
    <m/>
    <m/>
    <m/>
    <m/>
    <n v="3"/>
    <m/>
    <m/>
    <m/>
    <m/>
    <x v="490"/>
    <m/>
    <m/>
  </r>
  <r>
    <m/>
    <x v="168"/>
    <x v="33"/>
    <s v="Matouš"/>
    <n v="2"/>
    <m/>
    <m/>
    <m/>
    <m/>
    <n v="2"/>
    <m/>
    <m/>
    <m/>
    <m/>
    <x v="491"/>
    <m/>
    <m/>
  </r>
  <r>
    <m/>
    <x v="168"/>
    <x v="30"/>
    <s v="Hugo"/>
    <n v="3"/>
    <m/>
    <m/>
    <n v="1"/>
    <m/>
    <n v="1"/>
    <n v="1"/>
    <m/>
    <m/>
    <m/>
    <x v="492"/>
    <m/>
    <m/>
  </r>
  <r>
    <m/>
    <x v="169"/>
    <x v="18"/>
    <s v="Gimi"/>
    <n v="1"/>
    <m/>
    <m/>
    <m/>
    <m/>
    <m/>
    <n v="1"/>
    <m/>
    <m/>
    <m/>
    <x v="444"/>
    <m/>
    <m/>
  </r>
  <r>
    <m/>
    <x v="169"/>
    <x v="28"/>
    <s v="Hugo"/>
    <n v="4"/>
    <m/>
    <m/>
    <n v="1"/>
    <n v="1"/>
    <n v="1"/>
    <n v="1"/>
    <m/>
    <m/>
    <m/>
    <x v="493"/>
    <m/>
    <m/>
  </r>
  <r>
    <m/>
    <x v="169"/>
    <x v="16"/>
    <s v="Art"/>
    <n v="18"/>
    <m/>
    <m/>
    <n v="2"/>
    <n v="12"/>
    <n v="2"/>
    <m/>
    <n v="2"/>
    <m/>
    <m/>
    <x v="494"/>
    <m/>
    <m/>
  </r>
  <r>
    <m/>
    <x v="169"/>
    <x v="22"/>
    <s v="Dea"/>
    <n v="1"/>
    <m/>
    <m/>
    <m/>
    <m/>
    <m/>
    <m/>
    <n v="1"/>
    <m/>
    <m/>
    <x v="495"/>
    <m/>
    <m/>
  </r>
  <r>
    <m/>
    <x v="170"/>
    <x v="12"/>
    <s v="Bara"/>
    <n v="11"/>
    <m/>
    <m/>
    <n v="1"/>
    <n v="5"/>
    <n v="2"/>
    <n v="1"/>
    <n v="1"/>
    <m/>
    <n v="1"/>
    <x v="496"/>
    <m/>
    <m/>
  </r>
  <r>
    <m/>
    <x v="171"/>
    <x v="23"/>
    <s v="Denis"/>
    <n v="2"/>
    <m/>
    <n v="1"/>
    <m/>
    <m/>
    <n v="1"/>
    <m/>
    <m/>
    <m/>
    <m/>
    <x v="497"/>
    <m/>
    <m/>
  </r>
  <r>
    <m/>
    <x v="171"/>
    <x v="12"/>
    <s v="Bara"/>
    <n v="7"/>
    <m/>
    <m/>
    <m/>
    <n v="6"/>
    <n v="1"/>
    <m/>
    <m/>
    <m/>
    <m/>
    <x v="498"/>
    <m/>
    <m/>
  </r>
  <r>
    <m/>
    <x v="172"/>
    <x v="12"/>
    <s v="Bara"/>
    <n v="8"/>
    <m/>
    <m/>
    <m/>
    <n v="1"/>
    <n v="4"/>
    <n v="2"/>
    <n v="1"/>
    <m/>
    <m/>
    <x v="499"/>
    <m/>
    <m/>
  </r>
  <r>
    <m/>
    <x v="172"/>
    <x v="15"/>
    <s v="Alma"/>
    <n v="2"/>
    <m/>
    <m/>
    <m/>
    <n v="1"/>
    <n v="1"/>
    <m/>
    <m/>
    <m/>
    <m/>
    <x v="500"/>
    <m/>
    <m/>
  </r>
  <r>
    <m/>
    <x v="173"/>
    <x v="20"/>
    <s v="Baron"/>
    <n v="2"/>
    <m/>
    <m/>
    <m/>
    <m/>
    <m/>
    <n v="2"/>
    <m/>
    <m/>
    <m/>
    <x v="501"/>
    <m/>
    <m/>
  </r>
  <r>
    <m/>
    <x v="174"/>
    <x v="22"/>
    <s v="Dea"/>
    <n v="4"/>
    <m/>
    <m/>
    <m/>
    <m/>
    <n v="2"/>
    <n v="2"/>
    <m/>
    <m/>
    <m/>
    <x v="502"/>
    <m/>
    <m/>
  </r>
  <r>
    <m/>
    <x v="175"/>
    <x v="49"/>
    <s v="Ctisl. + Bramína"/>
    <n v="4"/>
    <m/>
    <m/>
    <m/>
    <m/>
    <n v="4"/>
    <m/>
    <m/>
    <m/>
    <m/>
    <x v="503"/>
    <m/>
    <m/>
  </r>
  <r>
    <m/>
    <x v="175"/>
    <x v="20"/>
    <s v="Baron"/>
    <n v="2"/>
    <m/>
    <n v="1"/>
    <n v="1"/>
    <m/>
    <m/>
    <m/>
    <m/>
    <m/>
    <m/>
    <x v="504"/>
    <m/>
    <m/>
  </r>
  <r>
    <m/>
    <x v="175"/>
    <x v="7"/>
    <s v="Argo"/>
    <n v="2"/>
    <m/>
    <n v="1"/>
    <m/>
    <m/>
    <m/>
    <n v="1"/>
    <m/>
    <m/>
    <m/>
    <x v="505"/>
    <m/>
    <m/>
  </r>
  <r>
    <m/>
    <x v="175"/>
    <x v="22"/>
    <s v="Dea"/>
    <n v="7"/>
    <m/>
    <n v="1"/>
    <m/>
    <n v="4"/>
    <n v="1"/>
    <m/>
    <n v="1"/>
    <m/>
    <m/>
    <x v="506"/>
    <m/>
    <m/>
  </r>
  <r>
    <m/>
    <x v="175"/>
    <x v="18"/>
    <s v="Gimi"/>
    <n v="13"/>
    <m/>
    <n v="3"/>
    <n v="2"/>
    <m/>
    <n v="8"/>
    <m/>
    <m/>
    <m/>
    <m/>
    <x v="507"/>
    <m/>
    <m/>
  </r>
  <r>
    <m/>
    <x v="175"/>
    <x v="16"/>
    <s v="Art"/>
    <n v="8"/>
    <m/>
    <m/>
    <m/>
    <n v="4"/>
    <n v="3"/>
    <n v="1"/>
    <m/>
    <m/>
    <m/>
    <x v="508"/>
    <m/>
    <m/>
  </r>
  <r>
    <m/>
    <x v="175"/>
    <x v="5"/>
    <s v="Bessie + Mína"/>
    <n v="1"/>
    <m/>
    <n v="1"/>
    <m/>
    <m/>
    <m/>
    <m/>
    <m/>
    <m/>
    <m/>
    <x v="509"/>
    <m/>
    <m/>
  </r>
  <r>
    <m/>
    <x v="175"/>
    <x v="0"/>
    <s v="Abigail"/>
    <n v="1"/>
    <m/>
    <n v="1"/>
    <m/>
    <m/>
    <m/>
    <m/>
    <m/>
    <m/>
    <m/>
    <x v="509"/>
    <m/>
    <m/>
  </r>
  <r>
    <m/>
    <x v="175"/>
    <x v="11"/>
    <s v="Beky"/>
    <n v="1"/>
    <m/>
    <n v="1"/>
    <m/>
    <m/>
    <m/>
    <m/>
    <m/>
    <m/>
    <m/>
    <x v="509"/>
    <m/>
    <m/>
  </r>
  <r>
    <m/>
    <x v="175"/>
    <x v="10"/>
    <s v="Lája + Bianca"/>
    <n v="7"/>
    <m/>
    <n v="2"/>
    <m/>
    <n v="4"/>
    <m/>
    <m/>
    <n v="1"/>
    <m/>
    <m/>
    <x v="510"/>
    <m/>
    <m/>
  </r>
  <r>
    <m/>
    <x v="175"/>
    <x v="33"/>
    <s v="Matouš"/>
    <n v="4"/>
    <m/>
    <n v="1"/>
    <m/>
    <m/>
    <n v="3"/>
    <m/>
    <m/>
    <m/>
    <m/>
    <x v="511"/>
    <m/>
    <m/>
  </r>
  <r>
    <m/>
    <x v="175"/>
    <x v="12"/>
    <s v="Bara"/>
    <n v="9"/>
    <m/>
    <m/>
    <n v="1"/>
    <n v="5"/>
    <n v="2"/>
    <n v="1"/>
    <m/>
    <m/>
    <m/>
    <x v="512"/>
    <m/>
    <m/>
  </r>
  <r>
    <m/>
    <x v="176"/>
    <x v="0"/>
    <s v="Abigail"/>
    <n v="1"/>
    <m/>
    <n v="1"/>
    <m/>
    <m/>
    <m/>
    <m/>
    <m/>
    <m/>
    <m/>
    <x v="513"/>
    <m/>
    <m/>
  </r>
  <r>
    <m/>
    <x v="176"/>
    <x v="16"/>
    <s v="Art"/>
    <n v="5"/>
    <m/>
    <n v="1"/>
    <m/>
    <m/>
    <n v="4"/>
    <m/>
    <m/>
    <m/>
    <m/>
    <x v="514"/>
    <m/>
    <s v="https://mapy.cz/s/3ya51 https://mapy.cz/s/3ya5m"/>
  </r>
  <r>
    <m/>
    <x v="176"/>
    <x v="1"/>
    <s v="Čaky"/>
    <n v="6"/>
    <m/>
    <n v="3"/>
    <n v="3"/>
    <m/>
    <m/>
    <m/>
    <m/>
    <m/>
    <m/>
    <x v="515"/>
    <m/>
    <m/>
  </r>
  <r>
    <m/>
    <x v="177"/>
    <x v="13"/>
    <s v="Holly"/>
    <n v="7"/>
    <m/>
    <n v="4"/>
    <m/>
    <m/>
    <n v="3"/>
    <m/>
    <m/>
    <m/>
    <m/>
    <x v="516"/>
    <m/>
    <m/>
  </r>
  <r>
    <m/>
    <x v="178"/>
    <x v="12"/>
    <s v="Bara"/>
    <n v="8"/>
    <m/>
    <n v="1"/>
    <n v="2"/>
    <m/>
    <m/>
    <n v="3"/>
    <n v="2"/>
    <m/>
    <m/>
    <x v="517"/>
    <m/>
    <m/>
  </r>
  <r>
    <m/>
    <x v="179"/>
    <x v="27"/>
    <s v="Bára"/>
    <n v="2"/>
    <m/>
    <m/>
    <m/>
    <m/>
    <n v="1"/>
    <n v="1"/>
    <m/>
    <m/>
    <m/>
    <x v="518"/>
    <m/>
    <m/>
  </r>
  <r>
    <m/>
    <x v="179"/>
    <x v="13"/>
    <s v="Holly"/>
    <n v="9"/>
    <m/>
    <n v="3"/>
    <m/>
    <m/>
    <n v="5"/>
    <n v="1"/>
    <m/>
    <m/>
    <m/>
    <x v="519"/>
    <m/>
    <m/>
  </r>
  <r>
    <m/>
    <x v="179"/>
    <x v="7"/>
    <s v="Argo"/>
    <n v="2"/>
    <m/>
    <m/>
    <m/>
    <n v="1"/>
    <n v="1"/>
    <m/>
    <m/>
    <m/>
    <m/>
    <x v="266"/>
    <m/>
    <m/>
  </r>
  <r>
    <m/>
    <x v="180"/>
    <x v="14"/>
    <s v="Bigi"/>
    <n v="1"/>
    <m/>
    <m/>
    <n v="1"/>
    <m/>
    <m/>
    <m/>
    <m/>
    <m/>
    <m/>
    <x v="102"/>
    <m/>
    <m/>
  </r>
  <r>
    <m/>
    <x v="180"/>
    <x v="20"/>
    <s v="Baron"/>
    <n v="3"/>
    <m/>
    <m/>
    <n v="1"/>
    <m/>
    <n v="1"/>
    <n v="1"/>
    <m/>
    <m/>
    <m/>
    <x v="520"/>
    <m/>
    <m/>
  </r>
  <r>
    <m/>
    <x v="181"/>
    <x v="7"/>
    <s v="Argo"/>
    <n v="2"/>
    <m/>
    <m/>
    <m/>
    <m/>
    <n v="1"/>
    <n v="1"/>
    <m/>
    <m/>
    <m/>
    <x v="521"/>
    <m/>
    <m/>
  </r>
  <r>
    <m/>
    <x v="182"/>
    <x v="5"/>
    <s v="Bessie + Mína"/>
    <n v="25"/>
    <m/>
    <m/>
    <n v="2"/>
    <n v="8"/>
    <n v="13"/>
    <m/>
    <n v="2"/>
    <m/>
    <m/>
    <x v="522"/>
    <m/>
    <m/>
  </r>
  <r>
    <m/>
    <x v="182"/>
    <x v="7"/>
    <s v="Argo"/>
    <n v="3"/>
    <m/>
    <m/>
    <m/>
    <m/>
    <n v="2"/>
    <n v="1"/>
    <m/>
    <m/>
    <m/>
    <x v="523"/>
    <m/>
    <m/>
  </r>
  <r>
    <m/>
    <x v="182"/>
    <x v="23"/>
    <s v="Denis"/>
    <n v="3"/>
    <m/>
    <n v="1"/>
    <m/>
    <m/>
    <n v="1"/>
    <m/>
    <n v="1"/>
    <m/>
    <m/>
    <x v="524"/>
    <m/>
    <m/>
  </r>
  <r>
    <m/>
    <x v="183"/>
    <x v="7"/>
    <s v="Argo"/>
    <n v="6"/>
    <n v="1"/>
    <m/>
    <n v="1"/>
    <n v="1"/>
    <n v="1"/>
    <n v="1"/>
    <n v="1"/>
    <m/>
    <m/>
    <x v="525"/>
    <m/>
    <m/>
  </r>
  <r>
    <m/>
    <x v="184"/>
    <x v="7"/>
    <s v="Argo"/>
    <n v="3"/>
    <m/>
    <m/>
    <m/>
    <n v="1"/>
    <n v="1"/>
    <m/>
    <n v="1"/>
    <m/>
    <m/>
    <x v="526"/>
    <m/>
    <m/>
  </r>
  <r>
    <m/>
    <x v="184"/>
    <x v="16"/>
    <s v="Art"/>
    <n v="10"/>
    <m/>
    <n v="2"/>
    <n v="3"/>
    <m/>
    <n v="5"/>
    <m/>
    <m/>
    <m/>
    <m/>
    <x v="527"/>
    <m/>
    <s v="https://mapy.cz/s/puvobasoju"/>
  </r>
  <r>
    <m/>
    <x v="185"/>
    <x v="23"/>
    <s v="Denis"/>
    <n v="1"/>
    <m/>
    <n v="1"/>
    <m/>
    <m/>
    <m/>
    <m/>
    <m/>
    <m/>
    <m/>
    <x v="528"/>
    <m/>
    <m/>
  </r>
  <r>
    <m/>
    <x v="186"/>
    <x v="38"/>
    <s v="Indy"/>
    <n v="6"/>
    <m/>
    <n v="1"/>
    <n v="2"/>
    <m/>
    <n v="3"/>
    <m/>
    <m/>
    <m/>
    <m/>
    <x v="529"/>
    <m/>
    <m/>
  </r>
  <r>
    <m/>
    <x v="186"/>
    <x v="3"/>
    <s v="Cíňa + Lestie"/>
    <n v="7"/>
    <n v="1"/>
    <n v="1"/>
    <m/>
    <n v="1"/>
    <n v="4"/>
    <m/>
    <m/>
    <m/>
    <m/>
    <x v="530"/>
    <m/>
    <m/>
  </r>
  <r>
    <m/>
    <x v="186"/>
    <x v="22"/>
    <s v="Dea"/>
    <n v="7"/>
    <m/>
    <m/>
    <m/>
    <m/>
    <n v="6"/>
    <m/>
    <n v="1"/>
    <m/>
    <m/>
    <x v="531"/>
    <m/>
    <m/>
  </r>
  <r>
    <m/>
    <x v="187"/>
    <x v="3"/>
    <s v="Cíňa + Lestie"/>
    <n v="3"/>
    <m/>
    <m/>
    <n v="1"/>
    <m/>
    <n v="2"/>
    <m/>
    <m/>
    <m/>
    <m/>
    <x v="532"/>
    <m/>
    <m/>
  </r>
  <r>
    <m/>
    <x v="187"/>
    <x v="23"/>
    <s v="Denis"/>
    <n v="3"/>
    <m/>
    <m/>
    <m/>
    <m/>
    <n v="2"/>
    <n v="1"/>
    <m/>
    <m/>
    <m/>
    <x v="533"/>
    <m/>
    <m/>
  </r>
  <r>
    <m/>
    <x v="187"/>
    <x v="10"/>
    <s v="Lája + Bianca"/>
    <n v="8"/>
    <m/>
    <n v="1"/>
    <m/>
    <n v="1"/>
    <n v="3"/>
    <m/>
    <n v="3"/>
    <m/>
    <m/>
    <x v="534"/>
    <m/>
    <m/>
  </r>
  <r>
    <m/>
    <x v="188"/>
    <x v="16"/>
    <s v="Art"/>
    <n v="2"/>
    <m/>
    <n v="1"/>
    <m/>
    <m/>
    <m/>
    <m/>
    <n v="1"/>
    <m/>
    <m/>
    <x v="535"/>
    <m/>
    <s v="https://mapy.cz/s/kemuvuvana"/>
  </r>
  <r>
    <m/>
    <x v="188"/>
    <x v="36"/>
    <s v="Alfons"/>
    <n v="2"/>
    <m/>
    <n v="1"/>
    <m/>
    <m/>
    <m/>
    <m/>
    <n v="1"/>
    <m/>
    <m/>
    <x v="535"/>
    <m/>
    <m/>
  </r>
  <r>
    <m/>
    <x v="188"/>
    <x v="50"/>
    <s v="Ebby"/>
    <n v="2"/>
    <m/>
    <m/>
    <m/>
    <m/>
    <n v="1"/>
    <m/>
    <m/>
    <m/>
    <n v="1"/>
    <x v="17"/>
    <m/>
    <m/>
  </r>
  <r>
    <m/>
    <x v="188"/>
    <x v="9"/>
    <s v="Chilli"/>
    <n v="12"/>
    <n v="1"/>
    <m/>
    <m/>
    <n v="6"/>
    <n v="3"/>
    <n v="2"/>
    <m/>
    <m/>
    <m/>
    <x v="536"/>
    <m/>
    <m/>
  </r>
  <r>
    <m/>
    <x v="188"/>
    <x v="13"/>
    <s v="Holly"/>
    <n v="1"/>
    <m/>
    <m/>
    <m/>
    <m/>
    <n v="1"/>
    <m/>
    <m/>
    <m/>
    <m/>
    <x v="18"/>
    <m/>
    <m/>
  </r>
  <r>
    <m/>
    <x v="188"/>
    <x v="23"/>
    <s v="Denis"/>
    <n v="1"/>
    <m/>
    <m/>
    <m/>
    <m/>
    <n v="1"/>
    <m/>
    <m/>
    <m/>
    <m/>
    <x v="537"/>
    <m/>
    <m/>
  </r>
  <r>
    <m/>
    <x v="188"/>
    <x v="22"/>
    <s v="Dea"/>
    <n v="3"/>
    <m/>
    <m/>
    <m/>
    <n v="2"/>
    <n v="1"/>
    <m/>
    <m/>
    <m/>
    <m/>
    <x v="538"/>
    <m/>
    <m/>
  </r>
  <r>
    <m/>
    <x v="189"/>
    <x v="5"/>
    <s v="Bessie + Mína"/>
    <n v="1"/>
    <m/>
    <n v="1"/>
    <m/>
    <m/>
    <m/>
    <m/>
    <m/>
    <m/>
    <m/>
    <x v="539"/>
    <m/>
    <m/>
  </r>
  <r>
    <m/>
    <x v="189"/>
    <x v="0"/>
    <s v="Abigail"/>
    <n v="1"/>
    <m/>
    <n v="1"/>
    <m/>
    <m/>
    <m/>
    <m/>
    <m/>
    <m/>
    <m/>
    <x v="540"/>
    <m/>
    <m/>
  </r>
  <r>
    <m/>
    <x v="189"/>
    <x v="16"/>
    <s v="Art"/>
    <n v="6"/>
    <m/>
    <n v="1"/>
    <m/>
    <m/>
    <n v="5"/>
    <m/>
    <m/>
    <m/>
    <m/>
    <x v="541"/>
    <m/>
    <m/>
  </r>
  <r>
    <m/>
    <x v="189"/>
    <x v="10"/>
    <s v="Lája + Bianca"/>
    <n v="8"/>
    <m/>
    <n v="3"/>
    <n v="1"/>
    <m/>
    <n v="1"/>
    <n v="2"/>
    <n v="1"/>
    <m/>
    <m/>
    <x v="542"/>
    <m/>
    <m/>
  </r>
  <r>
    <m/>
    <x v="189"/>
    <x v="10"/>
    <s v="Lája + Bianca"/>
    <n v="10"/>
    <m/>
    <n v="1"/>
    <n v="1"/>
    <m/>
    <n v="6"/>
    <n v="1"/>
    <m/>
    <n v="1"/>
    <m/>
    <x v="543"/>
    <m/>
    <m/>
  </r>
  <r>
    <m/>
    <x v="189"/>
    <x v="7"/>
    <s v="Argo"/>
    <n v="4"/>
    <m/>
    <m/>
    <n v="1"/>
    <m/>
    <n v="3"/>
    <m/>
    <m/>
    <m/>
    <m/>
    <x v="544"/>
    <m/>
    <m/>
  </r>
  <r>
    <m/>
    <x v="190"/>
    <x v="16"/>
    <s v="Art"/>
    <n v="6"/>
    <m/>
    <n v="2"/>
    <m/>
    <m/>
    <n v="4"/>
    <m/>
    <m/>
    <m/>
    <m/>
    <x v="545"/>
    <m/>
    <s v="https://mapy.cz/s/cubeguguto"/>
  </r>
  <r>
    <m/>
    <x v="190"/>
    <x v="10"/>
    <s v="Lája + Bianca"/>
    <n v="13"/>
    <n v="1"/>
    <n v="2"/>
    <n v="2"/>
    <m/>
    <n v="6"/>
    <n v="2"/>
    <m/>
    <m/>
    <m/>
    <x v="546"/>
    <m/>
    <m/>
  </r>
  <r>
    <m/>
    <x v="191"/>
    <x v="5"/>
    <s v="Bessie + Mína"/>
    <n v="4"/>
    <m/>
    <m/>
    <n v="1"/>
    <m/>
    <n v="3"/>
    <m/>
    <m/>
    <m/>
    <m/>
    <x v="547"/>
    <m/>
    <m/>
  </r>
  <r>
    <m/>
    <x v="191"/>
    <x v="0"/>
    <s v="Abigail"/>
    <n v="6"/>
    <m/>
    <n v="1"/>
    <n v="1"/>
    <m/>
    <n v="4"/>
    <m/>
    <m/>
    <m/>
    <m/>
    <x v="548"/>
    <m/>
    <m/>
  </r>
  <r>
    <m/>
    <x v="191"/>
    <x v="16"/>
    <s v="Art"/>
    <n v="5"/>
    <m/>
    <n v="1"/>
    <n v="3"/>
    <m/>
    <n v="1"/>
    <m/>
    <m/>
    <m/>
    <m/>
    <x v="549"/>
    <m/>
    <s v="https://mapy.cz/s/bufevubuva"/>
  </r>
  <r>
    <m/>
    <x v="192"/>
    <x v="16"/>
    <s v="Art"/>
    <n v="7"/>
    <m/>
    <n v="1"/>
    <n v="1"/>
    <m/>
    <n v="4"/>
    <n v="1"/>
    <m/>
    <m/>
    <m/>
    <x v="550"/>
    <m/>
    <s v="https://mapy.cz/s/dorevuzube"/>
  </r>
  <r>
    <m/>
    <x v="193"/>
    <x v="50"/>
    <s v="Ebby"/>
    <n v="1"/>
    <m/>
    <n v="1"/>
    <m/>
    <m/>
    <m/>
    <m/>
    <m/>
    <m/>
    <m/>
    <x v="551"/>
    <m/>
    <m/>
  </r>
  <r>
    <m/>
    <x v="193"/>
    <x v="16"/>
    <s v="Art"/>
    <n v="3"/>
    <m/>
    <m/>
    <n v="1"/>
    <m/>
    <n v="2"/>
    <m/>
    <m/>
    <m/>
    <m/>
    <x v="552"/>
    <m/>
    <s v="https://mapy.cz/s/lujupohugo"/>
  </r>
  <r>
    <m/>
    <x v="193"/>
    <x v="20"/>
    <s v="Baron"/>
    <n v="2"/>
    <m/>
    <m/>
    <m/>
    <m/>
    <n v="2"/>
    <m/>
    <m/>
    <m/>
    <m/>
    <x v="553"/>
    <m/>
    <m/>
  </r>
  <r>
    <m/>
    <x v="194"/>
    <x v="18"/>
    <s v="Gimi"/>
    <n v="6"/>
    <m/>
    <m/>
    <m/>
    <m/>
    <n v="6"/>
    <m/>
    <m/>
    <m/>
    <m/>
    <x v="554"/>
    <m/>
    <m/>
  </r>
  <r>
    <m/>
    <x v="194"/>
    <x v="12"/>
    <s v="Bara"/>
    <n v="10"/>
    <m/>
    <n v="1"/>
    <m/>
    <m/>
    <n v="6"/>
    <n v="3"/>
    <m/>
    <m/>
    <m/>
    <x v="555"/>
    <m/>
    <m/>
  </r>
  <r>
    <m/>
    <x v="195"/>
    <x v="27"/>
    <s v="Bára"/>
    <n v="3"/>
    <m/>
    <m/>
    <m/>
    <m/>
    <n v="2"/>
    <n v="1"/>
    <m/>
    <m/>
    <m/>
    <x v="556"/>
    <m/>
    <m/>
  </r>
  <r>
    <m/>
    <x v="195"/>
    <x v="7"/>
    <s v="Argo"/>
    <n v="1"/>
    <m/>
    <m/>
    <n v="1"/>
    <m/>
    <m/>
    <m/>
    <m/>
    <m/>
    <m/>
    <x v="557"/>
    <m/>
    <m/>
  </r>
  <r>
    <m/>
    <x v="195"/>
    <x v="12"/>
    <s v="Bara"/>
    <n v="7"/>
    <m/>
    <m/>
    <n v="1"/>
    <n v="4"/>
    <n v="2"/>
    <m/>
    <m/>
    <m/>
    <m/>
    <x v="558"/>
    <m/>
    <m/>
  </r>
  <r>
    <m/>
    <x v="196"/>
    <x v="27"/>
    <s v="Bára"/>
    <n v="3"/>
    <m/>
    <m/>
    <n v="1"/>
    <m/>
    <n v="1"/>
    <n v="1"/>
    <m/>
    <m/>
    <m/>
    <x v="559"/>
    <m/>
    <m/>
  </r>
  <r>
    <m/>
    <x v="196"/>
    <x v="22"/>
    <s v="Dea"/>
    <n v="1"/>
    <m/>
    <m/>
    <m/>
    <m/>
    <n v="1"/>
    <m/>
    <m/>
    <m/>
    <m/>
    <x v="560"/>
    <m/>
    <m/>
  </r>
  <r>
    <m/>
    <x v="196"/>
    <x v="50"/>
    <s v="Ebby"/>
    <n v="1"/>
    <m/>
    <n v="1"/>
    <m/>
    <m/>
    <m/>
    <m/>
    <m/>
    <m/>
    <m/>
    <x v="561"/>
    <m/>
    <m/>
  </r>
  <r>
    <m/>
    <x v="196"/>
    <x v="23"/>
    <s v="Denis"/>
    <n v="1"/>
    <m/>
    <m/>
    <m/>
    <m/>
    <n v="1"/>
    <m/>
    <m/>
    <m/>
    <m/>
    <x v="562"/>
    <m/>
    <m/>
  </r>
  <r>
    <m/>
    <x v="196"/>
    <x v="16"/>
    <s v="Art"/>
    <n v="4"/>
    <m/>
    <m/>
    <n v="1"/>
    <m/>
    <n v="3"/>
    <m/>
    <m/>
    <m/>
    <m/>
    <x v="563"/>
    <m/>
    <m/>
  </r>
  <r>
    <m/>
    <x v="196"/>
    <x v="12"/>
    <s v="Bara"/>
    <n v="7"/>
    <m/>
    <n v="1"/>
    <m/>
    <n v="2"/>
    <n v="3"/>
    <n v="1"/>
    <m/>
    <m/>
    <m/>
    <x v="564"/>
    <m/>
    <m/>
  </r>
  <r>
    <m/>
    <x v="196"/>
    <x v="33"/>
    <s v="Matouš"/>
    <n v="6"/>
    <m/>
    <m/>
    <m/>
    <m/>
    <n v="6"/>
    <m/>
    <m/>
    <m/>
    <m/>
    <x v="565"/>
    <m/>
    <m/>
  </r>
  <r>
    <m/>
    <x v="197"/>
    <x v="5"/>
    <s v="Bessie + Mína"/>
    <n v="1"/>
    <m/>
    <m/>
    <m/>
    <m/>
    <n v="1"/>
    <m/>
    <m/>
    <m/>
    <m/>
    <x v="566"/>
    <m/>
    <m/>
  </r>
  <r>
    <m/>
    <x v="197"/>
    <x v="1"/>
    <s v="Čaky"/>
    <n v="1"/>
    <m/>
    <m/>
    <m/>
    <m/>
    <n v="1"/>
    <m/>
    <m/>
    <m/>
    <m/>
    <x v="567"/>
    <m/>
    <m/>
  </r>
  <r>
    <m/>
    <x v="198"/>
    <x v="20"/>
    <s v="Baron"/>
    <n v="2"/>
    <m/>
    <m/>
    <m/>
    <m/>
    <m/>
    <n v="2"/>
    <m/>
    <m/>
    <m/>
    <x v="568"/>
    <m/>
    <m/>
  </r>
  <r>
    <m/>
    <x v="199"/>
    <x v="25"/>
    <s v="Iber"/>
    <n v="2"/>
    <m/>
    <m/>
    <m/>
    <m/>
    <n v="2"/>
    <m/>
    <m/>
    <m/>
    <m/>
    <x v="569"/>
    <m/>
    <m/>
  </r>
  <r>
    <m/>
    <x v="199"/>
    <x v="32"/>
    <s v="Bety + Mia"/>
    <n v="2"/>
    <m/>
    <m/>
    <m/>
    <m/>
    <n v="2"/>
    <m/>
    <m/>
    <m/>
    <m/>
    <x v="570"/>
    <m/>
    <m/>
  </r>
  <r>
    <m/>
    <x v="199"/>
    <x v="5"/>
    <s v="Bessie + Mína"/>
    <n v="2"/>
    <m/>
    <m/>
    <m/>
    <m/>
    <n v="1"/>
    <n v="1"/>
    <m/>
    <m/>
    <m/>
    <x v="571"/>
    <m/>
    <m/>
  </r>
  <r>
    <m/>
    <x v="200"/>
    <x v="27"/>
    <s v="Bára"/>
    <n v="4"/>
    <m/>
    <m/>
    <m/>
    <m/>
    <n v="3"/>
    <n v="1"/>
    <m/>
    <m/>
    <m/>
    <x v="572"/>
    <m/>
    <m/>
  </r>
  <r>
    <m/>
    <x v="200"/>
    <x v="16"/>
    <s v="Art"/>
    <n v="3"/>
    <m/>
    <n v="2"/>
    <n v="1"/>
    <m/>
    <m/>
    <m/>
    <m/>
    <m/>
    <m/>
    <x v="573"/>
    <m/>
    <m/>
  </r>
  <r>
    <m/>
    <x v="200"/>
    <x v="22"/>
    <s v="Dea"/>
    <n v="4"/>
    <m/>
    <n v="2"/>
    <n v="1"/>
    <m/>
    <m/>
    <n v="1"/>
    <m/>
    <m/>
    <m/>
    <x v="574"/>
    <m/>
    <m/>
  </r>
  <r>
    <m/>
    <x v="200"/>
    <x v="20"/>
    <s v="Baron"/>
    <n v="1"/>
    <m/>
    <m/>
    <m/>
    <m/>
    <m/>
    <n v="1"/>
    <m/>
    <m/>
    <m/>
    <x v="397"/>
    <m/>
    <m/>
  </r>
  <r>
    <m/>
    <x v="200"/>
    <x v="10"/>
    <s v="Lája + Bianca"/>
    <n v="9"/>
    <m/>
    <m/>
    <m/>
    <m/>
    <n v="2"/>
    <n v="6"/>
    <n v="1"/>
    <m/>
    <m/>
    <x v="575"/>
    <m/>
    <m/>
  </r>
  <r>
    <m/>
    <x v="200"/>
    <x v="12"/>
    <s v="Bara"/>
    <n v="7"/>
    <m/>
    <m/>
    <n v="4"/>
    <m/>
    <m/>
    <n v="1"/>
    <n v="2"/>
    <m/>
    <m/>
    <x v="576"/>
    <m/>
    <m/>
  </r>
  <r>
    <m/>
    <x v="201"/>
    <x v="5"/>
    <s v="Bessie + Mína"/>
    <n v="6"/>
    <m/>
    <n v="1"/>
    <m/>
    <m/>
    <n v="4"/>
    <n v="1"/>
    <m/>
    <m/>
    <m/>
    <x v="577"/>
    <m/>
    <m/>
  </r>
  <r>
    <m/>
    <x v="202"/>
    <x v="49"/>
    <s v="Ctisl. + Bramína"/>
    <n v="12"/>
    <m/>
    <n v="1"/>
    <n v="3"/>
    <n v="2"/>
    <n v="5"/>
    <n v="1"/>
    <m/>
    <m/>
    <m/>
    <x v="578"/>
    <m/>
    <m/>
  </r>
  <r>
    <m/>
    <x v="202"/>
    <x v="33"/>
    <s v="Matouš"/>
    <n v="4"/>
    <m/>
    <m/>
    <m/>
    <m/>
    <n v="4"/>
    <m/>
    <m/>
    <m/>
    <m/>
    <x v="579"/>
    <m/>
    <m/>
  </r>
  <r>
    <m/>
    <x v="202"/>
    <x v="5"/>
    <s v="Bessie + Mína"/>
    <n v="10"/>
    <n v="1"/>
    <m/>
    <n v="2"/>
    <n v="4"/>
    <n v="2"/>
    <n v="1"/>
    <m/>
    <m/>
    <m/>
    <x v="580"/>
    <m/>
    <m/>
  </r>
  <r>
    <m/>
    <x v="203"/>
    <x v="1"/>
    <s v="Čaky"/>
    <n v="13"/>
    <m/>
    <m/>
    <n v="1"/>
    <m/>
    <n v="3"/>
    <n v="8"/>
    <n v="1"/>
    <m/>
    <m/>
    <x v="581"/>
    <m/>
    <m/>
  </r>
  <r>
    <m/>
    <x v="203"/>
    <x v="5"/>
    <s v="Bessie + Mína"/>
    <n v="11"/>
    <m/>
    <m/>
    <m/>
    <n v="7"/>
    <n v="1"/>
    <m/>
    <n v="3"/>
    <m/>
    <m/>
    <x v="582"/>
    <m/>
    <m/>
  </r>
  <r>
    <m/>
    <x v="204"/>
    <x v="5"/>
    <s v="Bessie + Mína"/>
    <n v="2"/>
    <m/>
    <m/>
    <m/>
    <m/>
    <n v="1"/>
    <m/>
    <n v="1"/>
    <m/>
    <m/>
    <x v="583"/>
    <m/>
    <m/>
  </r>
  <r>
    <m/>
    <x v="205"/>
    <x v="49"/>
    <s v="Ctisl. + Bramína"/>
    <n v="3"/>
    <m/>
    <n v="1"/>
    <m/>
    <m/>
    <n v="1"/>
    <n v="1"/>
    <m/>
    <m/>
    <m/>
    <x v="584"/>
    <m/>
    <m/>
  </r>
  <r>
    <m/>
    <x v="205"/>
    <x v="33"/>
    <s v="Matouš"/>
    <n v="6"/>
    <m/>
    <n v="1"/>
    <m/>
    <m/>
    <n v="5"/>
    <m/>
    <m/>
    <m/>
    <m/>
    <x v="585"/>
    <m/>
    <m/>
  </r>
  <r>
    <m/>
    <x v="205"/>
    <x v="3"/>
    <s v="Cíňa + Lestie"/>
    <n v="1"/>
    <m/>
    <m/>
    <m/>
    <m/>
    <n v="1"/>
    <m/>
    <m/>
    <m/>
    <m/>
    <x v="586"/>
    <m/>
    <m/>
  </r>
  <r>
    <m/>
    <x v="205"/>
    <x v="5"/>
    <s v="Bessie + Mína"/>
    <n v="8"/>
    <m/>
    <n v="1"/>
    <m/>
    <n v="5"/>
    <n v="1"/>
    <m/>
    <n v="1"/>
    <m/>
    <m/>
    <x v="587"/>
    <m/>
    <m/>
  </r>
  <r>
    <m/>
    <x v="206"/>
    <x v="13"/>
    <s v="Holly"/>
    <n v="11"/>
    <n v="1"/>
    <m/>
    <m/>
    <n v="8"/>
    <n v="1"/>
    <m/>
    <n v="1"/>
    <m/>
    <m/>
    <x v="588"/>
    <m/>
    <m/>
  </r>
  <r>
    <m/>
    <x v="206"/>
    <x v="40"/>
    <s v="Ema"/>
    <n v="1"/>
    <m/>
    <m/>
    <m/>
    <m/>
    <n v="1"/>
    <m/>
    <m/>
    <m/>
    <m/>
    <x v="589"/>
    <m/>
    <m/>
  </r>
  <r>
    <m/>
    <x v="206"/>
    <x v="5"/>
    <s v="Bessie + Mína"/>
    <n v="10"/>
    <m/>
    <m/>
    <n v="1"/>
    <n v="4"/>
    <n v="2"/>
    <n v="1"/>
    <n v="2"/>
    <m/>
    <m/>
    <x v="590"/>
    <m/>
    <m/>
  </r>
  <r>
    <m/>
    <x v="206"/>
    <x v="12"/>
    <s v="Bara"/>
    <n v="20"/>
    <m/>
    <n v="3"/>
    <m/>
    <n v="9"/>
    <n v="3"/>
    <n v="3"/>
    <n v="2"/>
    <m/>
    <m/>
    <x v="591"/>
    <m/>
    <m/>
  </r>
  <r>
    <m/>
    <x v="206"/>
    <x v="10"/>
    <s v="Lája + Bianca"/>
    <n v="2"/>
    <m/>
    <n v="1"/>
    <m/>
    <m/>
    <m/>
    <m/>
    <n v="1"/>
    <m/>
    <m/>
    <x v="592"/>
    <m/>
    <m/>
  </r>
  <r>
    <m/>
    <x v="207"/>
    <x v="23"/>
    <s v="Denis"/>
    <n v="3"/>
    <m/>
    <n v="1"/>
    <m/>
    <m/>
    <n v="2"/>
    <m/>
    <m/>
    <m/>
    <m/>
    <x v="593"/>
    <m/>
    <m/>
  </r>
  <r>
    <m/>
    <x v="207"/>
    <x v="20"/>
    <s v="Baron"/>
    <n v="1"/>
    <m/>
    <m/>
    <m/>
    <m/>
    <n v="1"/>
    <m/>
    <m/>
    <m/>
    <m/>
    <x v="594"/>
    <m/>
    <m/>
  </r>
  <r>
    <m/>
    <x v="207"/>
    <x v="5"/>
    <s v="Bessie + Mína"/>
    <n v="6"/>
    <m/>
    <m/>
    <m/>
    <n v="2"/>
    <n v="4"/>
    <m/>
    <m/>
    <m/>
    <m/>
    <x v="595"/>
    <m/>
    <m/>
  </r>
  <r>
    <m/>
    <x v="207"/>
    <x v="10"/>
    <s v="Lája + Bianca"/>
    <n v="10"/>
    <m/>
    <m/>
    <m/>
    <n v="8"/>
    <n v="1"/>
    <m/>
    <n v="1"/>
    <m/>
    <m/>
    <x v="596"/>
    <m/>
    <m/>
  </r>
  <r>
    <m/>
    <x v="208"/>
    <x v="20"/>
    <s v="Baron"/>
    <n v="3"/>
    <m/>
    <m/>
    <n v="2"/>
    <m/>
    <m/>
    <n v="1"/>
    <m/>
    <m/>
    <m/>
    <x v="597"/>
    <m/>
    <m/>
  </r>
  <r>
    <m/>
    <x v="208"/>
    <x v="16"/>
    <s v="Art"/>
    <n v="1"/>
    <m/>
    <m/>
    <m/>
    <m/>
    <n v="1"/>
    <m/>
    <m/>
    <m/>
    <m/>
    <x v="93"/>
    <m/>
    <m/>
  </r>
  <r>
    <m/>
    <x v="209"/>
    <x v="0"/>
    <s v="Abigail"/>
    <n v="2"/>
    <m/>
    <m/>
    <m/>
    <m/>
    <n v="2"/>
    <m/>
    <m/>
    <m/>
    <m/>
    <x v="598"/>
    <m/>
    <m/>
  </r>
  <r>
    <m/>
    <x v="209"/>
    <x v="11"/>
    <s v="Beky"/>
    <n v="10"/>
    <m/>
    <n v="1"/>
    <n v="2"/>
    <n v="2"/>
    <n v="5"/>
    <m/>
    <m/>
    <m/>
    <m/>
    <x v="599"/>
    <m/>
    <m/>
  </r>
  <r>
    <m/>
    <x v="209"/>
    <x v="13"/>
    <s v="Holly"/>
    <n v="11"/>
    <m/>
    <m/>
    <n v="1"/>
    <n v="6"/>
    <n v="2"/>
    <n v="2"/>
    <m/>
    <m/>
    <m/>
    <x v="600"/>
    <m/>
    <m/>
  </r>
  <r>
    <m/>
    <x v="210"/>
    <x v="20"/>
    <s v="Baron"/>
    <n v="3"/>
    <m/>
    <m/>
    <n v="1"/>
    <m/>
    <n v="2"/>
    <m/>
    <m/>
    <m/>
    <m/>
    <x v="601"/>
    <m/>
    <m/>
  </r>
  <r>
    <m/>
    <x v="210"/>
    <x v="40"/>
    <s v="Ema"/>
    <n v="2"/>
    <m/>
    <m/>
    <m/>
    <m/>
    <n v="2"/>
    <m/>
    <m/>
    <m/>
    <m/>
    <x v="602"/>
    <m/>
    <m/>
  </r>
  <r>
    <m/>
    <x v="211"/>
    <x v="5"/>
    <s v="Bessie + Mína"/>
    <n v="1"/>
    <m/>
    <m/>
    <m/>
    <m/>
    <n v="1"/>
    <m/>
    <m/>
    <m/>
    <m/>
    <x v="603"/>
    <m/>
    <m/>
  </r>
  <r>
    <m/>
    <x v="211"/>
    <x v="11"/>
    <s v="Beky"/>
    <n v="1"/>
    <m/>
    <m/>
    <m/>
    <m/>
    <n v="1"/>
    <m/>
    <m/>
    <m/>
    <m/>
    <x v="603"/>
    <m/>
    <m/>
  </r>
  <r>
    <m/>
    <x v="211"/>
    <x v="27"/>
    <s v="Bára"/>
    <n v="2"/>
    <m/>
    <m/>
    <m/>
    <m/>
    <m/>
    <n v="1"/>
    <n v="1"/>
    <m/>
    <m/>
    <x v="604"/>
    <m/>
    <m/>
  </r>
  <r>
    <m/>
    <x v="211"/>
    <x v="20"/>
    <s v="Baron"/>
    <n v="2"/>
    <m/>
    <m/>
    <n v="1"/>
    <m/>
    <m/>
    <n v="1"/>
    <m/>
    <m/>
    <m/>
    <x v="170"/>
    <m/>
    <m/>
  </r>
  <r>
    <m/>
    <x v="211"/>
    <x v="16"/>
    <s v="Art"/>
    <n v="3"/>
    <m/>
    <m/>
    <m/>
    <m/>
    <n v="1"/>
    <n v="2"/>
    <m/>
    <m/>
    <m/>
    <x v="605"/>
    <m/>
    <m/>
  </r>
  <r>
    <m/>
    <x v="211"/>
    <x v="12"/>
    <s v="Bara"/>
    <n v="12"/>
    <m/>
    <m/>
    <m/>
    <n v="6"/>
    <n v="3"/>
    <n v="2"/>
    <n v="1"/>
    <m/>
    <m/>
    <x v="606"/>
    <m/>
    <m/>
  </r>
  <r>
    <m/>
    <x v="211"/>
    <x v="23"/>
    <s v="Denis"/>
    <n v="2"/>
    <m/>
    <m/>
    <m/>
    <m/>
    <n v="2"/>
    <m/>
    <m/>
    <m/>
    <m/>
    <x v="607"/>
    <m/>
    <m/>
  </r>
  <r>
    <m/>
    <x v="212"/>
    <x v="16"/>
    <s v="Art"/>
    <n v="3"/>
    <m/>
    <m/>
    <n v="2"/>
    <m/>
    <m/>
    <n v="1"/>
    <m/>
    <m/>
    <m/>
    <x v="597"/>
    <m/>
    <m/>
  </r>
  <r>
    <m/>
    <x v="212"/>
    <x v="40"/>
    <s v="Ema"/>
    <n v="1"/>
    <m/>
    <m/>
    <n v="1"/>
    <m/>
    <m/>
    <m/>
    <m/>
    <m/>
    <m/>
    <x v="608"/>
    <m/>
    <m/>
  </r>
  <r>
    <m/>
    <x v="212"/>
    <x v="1"/>
    <s v="Čaky"/>
    <n v="6"/>
    <m/>
    <m/>
    <m/>
    <m/>
    <n v="6"/>
    <m/>
    <m/>
    <m/>
    <m/>
    <x v="609"/>
    <m/>
    <m/>
  </r>
  <r>
    <m/>
    <x v="212"/>
    <x v="10"/>
    <s v="Lája + Bianca"/>
    <n v="9"/>
    <m/>
    <m/>
    <m/>
    <n v="9"/>
    <m/>
    <m/>
    <m/>
    <m/>
    <m/>
    <x v="610"/>
    <m/>
    <m/>
  </r>
  <r>
    <m/>
    <x v="213"/>
    <x v="9"/>
    <s v="Chilli"/>
    <n v="15"/>
    <m/>
    <n v="4"/>
    <m/>
    <n v="2"/>
    <n v="7"/>
    <n v="2"/>
    <m/>
    <m/>
    <m/>
    <x v="611"/>
    <m/>
    <m/>
  </r>
  <r>
    <m/>
    <x v="213"/>
    <x v="19"/>
    <s v="Rory"/>
    <n v="1"/>
    <m/>
    <m/>
    <m/>
    <m/>
    <n v="1"/>
    <m/>
    <m/>
    <m/>
    <m/>
    <x v="56"/>
    <m/>
    <m/>
  </r>
  <r>
    <m/>
    <x v="213"/>
    <x v="1"/>
    <s v="Čaky"/>
    <n v="10"/>
    <m/>
    <n v="1"/>
    <n v="2"/>
    <m/>
    <n v="7"/>
    <m/>
    <m/>
    <m/>
    <m/>
    <x v="612"/>
    <m/>
    <m/>
  </r>
  <r>
    <m/>
    <x v="213"/>
    <x v="33"/>
    <s v="Matouš"/>
    <n v="4"/>
    <m/>
    <m/>
    <n v="2"/>
    <m/>
    <m/>
    <n v="2"/>
    <m/>
    <m/>
    <m/>
    <x v="613"/>
    <m/>
    <m/>
  </r>
  <r>
    <m/>
    <x v="214"/>
    <x v="30"/>
    <s v="Hugo"/>
    <n v="1"/>
    <m/>
    <m/>
    <m/>
    <m/>
    <n v="1"/>
    <m/>
    <m/>
    <m/>
    <m/>
    <x v="18"/>
    <m/>
    <m/>
  </r>
  <r>
    <m/>
    <x v="214"/>
    <x v="22"/>
    <s v="Dea"/>
    <n v="11"/>
    <m/>
    <n v="7"/>
    <m/>
    <m/>
    <n v="3"/>
    <n v="1"/>
    <m/>
    <m/>
    <m/>
    <x v="614"/>
    <m/>
    <m/>
  </r>
  <r>
    <m/>
    <x v="214"/>
    <x v="20"/>
    <s v="Baron"/>
    <n v="4"/>
    <m/>
    <n v="1"/>
    <m/>
    <m/>
    <n v="2"/>
    <n v="1"/>
    <m/>
    <m/>
    <m/>
    <x v="615"/>
    <m/>
    <m/>
  </r>
  <r>
    <m/>
    <x v="215"/>
    <x v="50"/>
    <s v="Ebby"/>
    <n v="3"/>
    <m/>
    <m/>
    <m/>
    <m/>
    <n v="2"/>
    <m/>
    <n v="1"/>
    <m/>
    <m/>
    <x v="616"/>
    <m/>
    <m/>
  </r>
  <r>
    <m/>
    <x v="215"/>
    <x v="16"/>
    <s v="Art"/>
    <n v="2"/>
    <m/>
    <m/>
    <m/>
    <m/>
    <n v="1"/>
    <n v="1"/>
    <m/>
    <m/>
    <m/>
    <x v="617"/>
    <m/>
    <m/>
  </r>
  <r>
    <m/>
    <x v="215"/>
    <x v="10"/>
    <s v="Lája + Bianca"/>
    <n v="15"/>
    <m/>
    <n v="1"/>
    <n v="1"/>
    <m/>
    <n v="8"/>
    <n v="4"/>
    <n v="1"/>
    <m/>
    <m/>
    <x v="618"/>
    <m/>
    <m/>
  </r>
  <r>
    <m/>
    <x v="216"/>
    <x v="22"/>
    <s v="Dea"/>
    <n v="2"/>
    <m/>
    <n v="1"/>
    <m/>
    <m/>
    <n v="1"/>
    <m/>
    <m/>
    <m/>
    <m/>
    <x v="619"/>
    <m/>
    <m/>
  </r>
  <r>
    <m/>
    <x v="216"/>
    <x v="12"/>
    <s v="Bara"/>
    <n v="14"/>
    <m/>
    <m/>
    <m/>
    <n v="10"/>
    <n v="2"/>
    <n v="1"/>
    <n v="1"/>
    <m/>
    <m/>
    <x v="620"/>
    <m/>
    <m/>
  </r>
  <r>
    <m/>
    <x v="216"/>
    <x v="13"/>
    <s v="Holly"/>
    <n v="1"/>
    <m/>
    <m/>
    <m/>
    <m/>
    <m/>
    <n v="1"/>
    <m/>
    <m/>
    <m/>
    <x v="621"/>
    <m/>
    <m/>
  </r>
  <r>
    <m/>
    <x v="216"/>
    <x v="5"/>
    <s v="Bessie + Mína"/>
    <n v="12"/>
    <m/>
    <m/>
    <n v="4"/>
    <m/>
    <n v="5"/>
    <m/>
    <n v="3"/>
    <m/>
    <m/>
    <x v="622"/>
    <m/>
    <s v="https://mapy.cz/s/popenomere "/>
  </r>
  <r>
    <m/>
    <x v="216"/>
    <x v="16"/>
    <s v="Art"/>
    <n v="11"/>
    <m/>
    <n v="2"/>
    <m/>
    <m/>
    <n v="7"/>
    <n v="1"/>
    <m/>
    <n v="1"/>
    <m/>
    <x v="623"/>
    <m/>
    <m/>
  </r>
  <r>
    <m/>
    <x v="217"/>
    <x v="23"/>
    <s v="Denis"/>
    <n v="1"/>
    <m/>
    <m/>
    <n v="1"/>
    <m/>
    <m/>
    <m/>
    <m/>
    <m/>
    <m/>
    <x v="624"/>
    <m/>
    <m/>
  </r>
  <r>
    <m/>
    <x v="217"/>
    <x v="20"/>
    <s v="Baron"/>
    <n v="1"/>
    <m/>
    <m/>
    <m/>
    <m/>
    <m/>
    <n v="1"/>
    <m/>
    <m/>
    <m/>
    <x v="625"/>
    <m/>
    <m/>
  </r>
  <r>
    <m/>
    <x v="218"/>
    <x v="10"/>
    <s v="Lája + Bianca"/>
    <n v="10"/>
    <m/>
    <n v="7"/>
    <m/>
    <m/>
    <n v="1"/>
    <n v="2"/>
    <m/>
    <m/>
    <m/>
    <x v="626"/>
    <m/>
    <m/>
  </r>
  <r>
    <m/>
    <x v="219"/>
    <x v="16"/>
    <s v="Art"/>
    <n v="2"/>
    <m/>
    <n v="1"/>
    <m/>
    <m/>
    <n v="1"/>
    <m/>
    <m/>
    <m/>
    <m/>
    <x v="627"/>
    <m/>
    <m/>
  </r>
  <r>
    <m/>
    <x v="219"/>
    <x v="5"/>
    <s v="Bessie + Mína"/>
    <n v="9"/>
    <m/>
    <n v="4"/>
    <n v="2"/>
    <m/>
    <n v="3"/>
    <m/>
    <m/>
    <m/>
    <m/>
    <x v="628"/>
    <m/>
    <m/>
  </r>
  <r>
    <m/>
    <x v="219"/>
    <x v="10"/>
    <s v="Lája + Bianca"/>
    <n v="6"/>
    <m/>
    <n v="1"/>
    <m/>
    <m/>
    <n v="2"/>
    <n v="3"/>
    <m/>
    <m/>
    <m/>
    <x v="629"/>
    <m/>
    <m/>
  </r>
  <r>
    <m/>
    <x v="220"/>
    <x v="30"/>
    <s v="Hugo"/>
    <n v="2"/>
    <m/>
    <n v="1"/>
    <n v="1"/>
    <m/>
    <m/>
    <m/>
    <m/>
    <m/>
    <m/>
    <x v="630"/>
    <m/>
    <s v="https://mapy.cz/s/lobutefuba"/>
  </r>
  <r>
    <m/>
    <x v="220"/>
    <x v="11"/>
    <s v="Beky"/>
    <n v="5"/>
    <m/>
    <m/>
    <m/>
    <m/>
    <n v="5"/>
    <m/>
    <m/>
    <m/>
    <m/>
    <x v="631"/>
    <m/>
    <m/>
  </r>
  <r>
    <m/>
    <x v="220"/>
    <x v="0"/>
    <s v="Abigail"/>
    <n v="5"/>
    <m/>
    <m/>
    <m/>
    <m/>
    <n v="5"/>
    <m/>
    <m/>
    <m/>
    <m/>
    <x v="631"/>
    <m/>
    <m/>
  </r>
  <r>
    <m/>
    <x v="220"/>
    <x v="10"/>
    <s v="Lája + Bianca"/>
    <n v="12"/>
    <m/>
    <n v="1"/>
    <n v="1"/>
    <n v="1"/>
    <n v="6"/>
    <n v="2"/>
    <n v="1"/>
    <m/>
    <m/>
    <x v="632"/>
    <m/>
    <m/>
  </r>
  <r>
    <m/>
    <x v="221"/>
    <x v="5"/>
    <s v="Bessie + Mína"/>
    <n v="1"/>
    <m/>
    <m/>
    <m/>
    <m/>
    <n v="1"/>
    <m/>
    <m/>
    <m/>
    <m/>
    <x v="633"/>
    <m/>
    <m/>
  </r>
  <r>
    <m/>
    <x v="221"/>
    <x v="11"/>
    <s v="Beky"/>
    <n v="1"/>
    <m/>
    <m/>
    <m/>
    <m/>
    <n v="1"/>
    <m/>
    <m/>
    <m/>
    <m/>
    <x v="633"/>
    <m/>
    <m/>
  </r>
  <r>
    <m/>
    <x v="221"/>
    <x v="12"/>
    <s v="Bara"/>
    <n v="16"/>
    <m/>
    <m/>
    <n v="2"/>
    <n v="11"/>
    <n v="2"/>
    <m/>
    <n v="1"/>
    <m/>
    <m/>
    <x v="634"/>
    <m/>
    <m/>
  </r>
  <r>
    <m/>
    <x v="221"/>
    <x v="25"/>
    <s v="Iber"/>
    <n v="2"/>
    <m/>
    <m/>
    <m/>
    <m/>
    <n v="2"/>
    <m/>
    <m/>
    <m/>
    <m/>
    <x v="635"/>
    <m/>
    <m/>
  </r>
  <r>
    <m/>
    <x v="221"/>
    <x v="10"/>
    <s v="Lája + Bianca"/>
    <n v="11"/>
    <m/>
    <n v="4"/>
    <n v="1"/>
    <m/>
    <n v="6"/>
    <m/>
    <m/>
    <m/>
    <m/>
    <x v="636"/>
    <m/>
    <m/>
  </r>
  <r>
    <m/>
    <x v="222"/>
    <x v="23"/>
    <s v="Denis"/>
    <n v="1"/>
    <m/>
    <m/>
    <m/>
    <m/>
    <m/>
    <m/>
    <n v="1"/>
    <m/>
    <m/>
    <x v="637"/>
    <m/>
    <m/>
  </r>
  <r>
    <m/>
    <x v="222"/>
    <x v="20"/>
    <s v="Baron"/>
    <n v="3"/>
    <m/>
    <n v="2"/>
    <n v="1"/>
    <m/>
    <m/>
    <m/>
    <m/>
    <m/>
    <m/>
    <x v="638"/>
    <m/>
    <m/>
  </r>
  <r>
    <m/>
    <x v="223"/>
    <x v="5"/>
    <s v="Bessie + Mína"/>
    <n v="2"/>
    <m/>
    <m/>
    <n v="1"/>
    <n v="1"/>
    <m/>
    <m/>
    <m/>
    <m/>
    <m/>
    <x v="639"/>
    <m/>
    <m/>
  </r>
  <r>
    <m/>
    <x v="223"/>
    <x v="16"/>
    <s v="Art"/>
    <n v="2"/>
    <m/>
    <n v="1"/>
    <m/>
    <m/>
    <n v="1"/>
    <m/>
    <m/>
    <m/>
    <m/>
    <x v="640"/>
    <m/>
    <m/>
  </r>
  <r>
    <m/>
    <x v="224"/>
    <x v="7"/>
    <s v="Argo"/>
    <n v="4"/>
    <m/>
    <m/>
    <n v="1"/>
    <m/>
    <m/>
    <n v="1"/>
    <n v="2"/>
    <m/>
    <m/>
    <x v="641"/>
    <m/>
    <m/>
  </r>
  <r>
    <m/>
    <x v="225"/>
    <x v="18"/>
    <s v="Gimi"/>
    <n v="4"/>
    <m/>
    <n v="1"/>
    <m/>
    <m/>
    <n v="3"/>
    <m/>
    <m/>
    <m/>
    <m/>
    <x v="642"/>
    <m/>
    <m/>
  </r>
  <r>
    <m/>
    <x v="225"/>
    <x v="7"/>
    <s v="Argo"/>
    <n v="5"/>
    <m/>
    <m/>
    <m/>
    <n v="4"/>
    <n v="1"/>
    <m/>
    <m/>
    <m/>
    <m/>
    <x v="643"/>
    <m/>
    <m/>
  </r>
  <r>
    <m/>
    <x v="225"/>
    <x v="13"/>
    <s v="Holly"/>
    <n v="12"/>
    <m/>
    <m/>
    <n v="2"/>
    <n v="3"/>
    <n v="6"/>
    <n v="1"/>
    <m/>
    <m/>
    <m/>
    <x v="644"/>
    <m/>
    <m/>
  </r>
  <r>
    <m/>
    <x v="225"/>
    <x v="10"/>
    <s v="Lája + Bianca"/>
    <n v="9"/>
    <m/>
    <m/>
    <m/>
    <m/>
    <n v="5"/>
    <n v="3"/>
    <n v="1"/>
    <m/>
    <m/>
    <x v="645"/>
    <m/>
    <m/>
  </r>
  <r>
    <m/>
    <x v="226"/>
    <x v="33"/>
    <s v="Matouš"/>
    <n v="2"/>
    <m/>
    <m/>
    <m/>
    <m/>
    <n v="2"/>
    <m/>
    <m/>
    <m/>
    <m/>
    <x v="646"/>
    <m/>
    <m/>
  </r>
  <r>
    <m/>
    <x v="226"/>
    <x v="11"/>
    <s v="Beky"/>
    <n v="2"/>
    <m/>
    <m/>
    <n v="1"/>
    <m/>
    <n v="1"/>
    <m/>
    <m/>
    <m/>
    <m/>
    <x v="647"/>
    <m/>
    <m/>
  </r>
  <r>
    <m/>
    <x v="226"/>
    <x v="0"/>
    <s v="Abigail"/>
    <n v="2"/>
    <m/>
    <m/>
    <n v="1"/>
    <m/>
    <n v="1"/>
    <m/>
    <m/>
    <m/>
    <m/>
    <x v="647"/>
    <m/>
    <m/>
  </r>
  <r>
    <m/>
    <x v="226"/>
    <x v="5"/>
    <s v="Bessie + Mína"/>
    <n v="2"/>
    <m/>
    <m/>
    <n v="1"/>
    <m/>
    <n v="1"/>
    <m/>
    <m/>
    <m/>
    <m/>
    <x v="647"/>
    <m/>
    <m/>
  </r>
  <r>
    <m/>
    <x v="226"/>
    <x v="38"/>
    <s v="Indy"/>
    <n v="13"/>
    <n v="1"/>
    <n v="2"/>
    <n v="1"/>
    <n v="3"/>
    <n v="2"/>
    <n v="2"/>
    <n v="2"/>
    <m/>
    <m/>
    <x v="648"/>
    <m/>
    <m/>
  </r>
  <r>
    <m/>
    <x v="226"/>
    <x v="1"/>
    <s v="Čaky"/>
    <n v="5"/>
    <m/>
    <m/>
    <n v="1"/>
    <m/>
    <n v="4"/>
    <m/>
    <m/>
    <m/>
    <m/>
    <x v="649"/>
    <m/>
    <m/>
  </r>
  <r>
    <m/>
    <x v="226"/>
    <x v="16"/>
    <s v="Art"/>
    <n v="5"/>
    <m/>
    <m/>
    <n v="1"/>
    <n v="2"/>
    <n v="2"/>
    <m/>
    <m/>
    <m/>
    <m/>
    <x v="650"/>
    <m/>
    <m/>
  </r>
  <r>
    <m/>
    <x v="226"/>
    <x v="10"/>
    <s v="Lája + Bianca"/>
    <n v="11"/>
    <m/>
    <m/>
    <n v="2"/>
    <m/>
    <n v="6"/>
    <m/>
    <n v="3"/>
    <m/>
    <m/>
    <x v="651"/>
    <m/>
    <m/>
  </r>
  <r>
    <m/>
    <x v="226"/>
    <x v="12"/>
    <s v="Bara"/>
    <n v="5"/>
    <m/>
    <n v="1"/>
    <n v="1"/>
    <m/>
    <n v="2"/>
    <n v="1"/>
    <m/>
    <m/>
    <m/>
    <x v="652"/>
    <m/>
    <m/>
  </r>
  <r>
    <m/>
    <x v="227"/>
    <x v="16"/>
    <s v="Art"/>
    <n v="1"/>
    <m/>
    <n v="1"/>
    <m/>
    <m/>
    <m/>
    <m/>
    <m/>
    <m/>
    <m/>
    <x v="653"/>
    <m/>
    <m/>
  </r>
  <r>
    <m/>
    <x v="228"/>
    <x v="16"/>
    <s v="Art"/>
    <n v="6"/>
    <m/>
    <m/>
    <m/>
    <m/>
    <n v="5"/>
    <m/>
    <n v="1"/>
    <m/>
    <m/>
    <x v="654"/>
    <m/>
    <m/>
  </r>
  <r>
    <m/>
    <x v="228"/>
    <x v="20"/>
    <s v="Baron"/>
    <n v="6"/>
    <m/>
    <n v="1"/>
    <m/>
    <m/>
    <n v="4"/>
    <n v="1"/>
    <m/>
    <m/>
    <m/>
    <x v="655"/>
    <m/>
    <m/>
  </r>
  <r>
    <m/>
    <x v="228"/>
    <x v="23"/>
    <s v="Denis"/>
    <n v="1"/>
    <m/>
    <m/>
    <m/>
    <m/>
    <n v="1"/>
    <m/>
    <m/>
    <m/>
    <m/>
    <x v="656"/>
    <m/>
    <m/>
  </r>
  <r>
    <m/>
    <x v="228"/>
    <x v="5"/>
    <s v="Bessie + Mína"/>
    <n v="3"/>
    <m/>
    <m/>
    <n v="1"/>
    <m/>
    <n v="2"/>
    <m/>
    <m/>
    <m/>
    <m/>
    <x v="657"/>
    <m/>
    <s v="https://mapy.cz/s/jepehocova "/>
  </r>
  <r>
    <m/>
    <x v="229"/>
    <x v="7"/>
    <s v="Argo"/>
    <n v="2"/>
    <m/>
    <n v="1"/>
    <m/>
    <m/>
    <m/>
    <n v="1"/>
    <m/>
    <m/>
    <m/>
    <x v="658"/>
    <m/>
    <m/>
  </r>
  <r>
    <m/>
    <x v="229"/>
    <x v="20"/>
    <s v="Baron"/>
    <n v="4"/>
    <m/>
    <n v="1"/>
    <m/>
    <m/>
    <n v="1"/>
    <n v="2"/>
    <m/>
    <m/>
    <m/>
    <x v="659"/>
    <m/>
    <m/>
  </r>
  <r>
    <m/>
    <x v="229"/>
    <x v="5"/>
    <s v="Bessie + Mína"/>
    <n v="7"/>
    <m/>
    <m/>
    <n v="1"/>
    <n v="1"/>
    <n v="3"/>
    <n v="2"/>
    <m/>
    <m/>
    <m/>
    <x v="660"/>
    <m/>
    <s v="https://mapy.cz/s/copofugoja "/>
  </r>
  <r>
    <m/>
    <x v="229"/>
    <x v="22"/>
    <s v="Dea"/>
    <n v="11"/>
    <m/>
    <m/>
    <n v="1"/>
    <n v="9"/>
    <n v="1"/>
    <m/>
    <m/>
    <m/>
    <m/>
    <x v="661"/>
    <m/>
    <m/>
  </r>
  <r>
    <m/>
    <x v="229"/>
    <x v="10"/>
    <s v="Lája + Bianca"/>
    <n v="10"/>
    <m/>
    <m/>
    <n v="1"/>
    <m/>
    <n v="5"/>
    <n v="3"/>
    <n v="1"/>
    <m/>
    <m/>
    <x v="662"/>
    <m/>
    <m/>
  </r>
  <r>
    <m/>
    <x v="229"/>
    <x v="16"/>
    <s v="Art"/>
    <n v="7"/>
    <m/>
    <m/>
    <m/>
    <n v="6"/>
    <m/>
    <m/>
    <n v="1"/>
    <m/>
    <m/>
    <x v="663"/>
    <m/>
    <m/>
  </r>
  <r>
    <m/>
    <x v="230"/>
    <x v="13"/>
    <s v="Holly"/>
    <n v="7"/>
    <m/>
    <n v="2"/>
    <m/>
    <m/>
    <n v="5"/>
    <m/>
    <m/>
    <m/>
    <m/>
    <x v="664"/>
    <m/>
    <m/>
  </r>
  <r>
    <m/>
    <x v="230"/>
    <x v="5"/>
    <s v="Bessie + Mína"/>
    <n v="11"/>
    <m/>
    <n v="1"/>
    <m/>
    <m/>
    <n v="6"/>
    <n v="4"/>
    <m/>
    <m/>
    <m/>
    <x v="665"/>
    <m/>
    <s v="https://mapy.cz/s/kobobareno  "/>
  </r>
  <r>
    <m/>
    <x v="230"/>
    <x v="10"/>
    <s v="Lája + Bianca"/>
    <n v="16"/>
    <n v="1"/>
    <m/>
    <m/>
    <n v="2"/>
    <n v="10"/>
    <n v="3"/>
    <m/>
    <m/>
    <m/>
    <x v="666"/>
    <m/>
    <m/>
  </r>
  <r>
    <m/>
    <x v="230"/>
    <x v="16"/>
    <s v="Art"/>
    <n v="4"/>
    <m/>
    <m/>
    <m/>
    <n v="3"/>
    <n v="1"/>
    <m/>
    <m/>
    <m/>
    <m/>
    <x v="667"/>
    <m/>
    <m/>
  </r>
  <r>
    <m/>
    <x v="231"/>
    <x v="18"/>
    <s v="Gimi"/>
    <n v="2"/>
    <m/>
    <m/>
    <m/>
    <m/>
    <n v="2"/>
    <m/>
    <m/>
    <m/>
    <m/>
    <x v="668"/>
    <m/>
    <m/>
  </r>
  <r>
    <m/>
    <x v="231"/>
    <x v="4"/>
    <s v="Ája"/>
    <n v="8"/>
    <m/>
    <m/>
    <n v="2"/>
    <m/>
    <n v="5"/>
    <n v="1"/>
    <m/>
    <m/>
    <m/>
    <x v="669"/>
    <m/>
    <m/>
  </r>
  <r>
    <m/>
    <x v="231"/>
    <x v="1"/>
    <s v="Čaky"/>
    <n v="16"/>
    <m/>
    <n v="3"/>
    <n v="3"/>
    <m/>
    <n v="7"/>
    <n v="3"/>
    <m/>
    <m/>
    <m/>
    <x v="670"/>
    <m/>
    <m/>
  </r>
  <r>
    <m/>
    <x v="231"/>
    <x v="12"/>
    <s v="Bara"/>
    <n v="22"/>
    <m/>
    <n v="2"/>
    <n v="4"/>
    <n v="10"/>
    <n v="4"/>
    <m/>
    <n v="2"/>
    <m/>
    <m/>
    <x v="671"/>
    <m/>
    <m/>
  </r>
  <r>
    <m/>
    <x v="231"/>
    <x v="16"/>
    <s v="Art"/>
    <n v="9"/>
    <m/>
    <m/>
    <m/>
    <n v="4"/>
    <n v="1"/>
    <n v="1"/>
    <n v="3"/>
    <m/>
    <m/>
    <x v="672"/>
    <m/>
    <m/>
  </r>
  <r>
    <m/>
    <x v="232"/>
    <x v="49"/>
    <s v="Ctisl. + Bramína"/>
    <n v="21"/>
    <m/>
    <n v="2"/>
    <n v="2"/>
    <n v="4"/>
    <n v="12"/>
    <m/>
    <n v="1"/>
    <m/>
    <m/>
    <x v="673"/>
    <m/>
    <m/>
  </r>
  <r>
    <m/>
    <x v="232"/>
    <x v="7"/>
    <s v="Argo"/>
    <n v="3"/>
    <m/>
    <m/>
    <m/>
    <m/>
    <n v="1"/>
    <n v="2"/>
    <m/>
    <m/>
    <m/>
    <x v="674"/>
    <m/>
    <m/>
  </r>
  <r>
    <m/>
    <x v="233"/>
    <x v="33"/>
    <s v="Matouš"/>
    <n v="2"/>
    <m/>
    <n v="1"/>
    <m/>
    <m/>
    <m/>
    <m/>
    <m/>
    <n v="1"/>
    <m/>
    <x v="675"/>
    <m/>
    <m/>
  </r>
  <r>
    <m/>
    <x v="233"/>
    <x v="16"/>
    <s v="Art"/>
    <n v="5"/>
    <m/>
    <m/>
    <n v="1"/>
    <m/>
    <n v="1"/>
    <n v="3"/>
    <m/>
    <m/>
    <m/>
    <x v="676"/>
    <m/>
    <m/>
  </r>
  <r>
    <m/>
    <x v="234"/>
    <x v="5"/>
    <s v="Bessie + Mína"/>
    <n v="12"/>
    <m/>
    <n v="1"/>
    <m/>
    <m/>
    <n v="8"/>
    <n v="3"/>
    <m/>
    <m/>
    <m/>
    <x v="677"/>
    <m/>
    <m/>
  </r>
  <r>
    <m/>
    <x v="234"/>
    <x v="20"/>
    <s v="Baron"/>
    <n v="4"/>
    <m/>
    <n v="1"/>
    <m/>
    <m/>
    <n v="1"/>
    <n v="2"/>
    <m/>
    <m/>
    <m/>
    <x v="678"/>
    <m/>
    <m/>
  </r>
  <r>
    <m/>
    <x v="235"/>
    <x v="7"/>
    <s v="Argo"/>
    <n v="2"/>
    <m/>
    <m/>
    <m/>
    <m/>
    <n v="1"/>
    <n v="1"/>
    <m/>
    <m/>
    <m/>
    <x v="679"/>
    <m/>
    <m/>
  </r>
  <r>
    <m/>
    <x v="235"/>
    <x v="5"/>
    <s v="Bessie + Mína"/>
    <n v="9"/>
    <m/>
    <m/>
    <n v="1"/>
    <n v="3"/>
    <n v="5"/>
    <m/>
    <m/>
    <m/>
    <m/>
    <x v="680"/>
    <m/>
    <m/>
  </r>
  <r>
    <m/>
    <x v="235"/>
    <x v="10"/>
    <s v="Lája + Bianca"/>
    <n v="9"/>
    <m/>
    <m/>
    <n v="2"/>
    <m/>
    <n v="5"/>
    <n v="2"/>
    <m/>
    <m/>
    <m/>
    <x v="681"/>
    <m/>
    <m/>
  </r>
  <r>
    <m/>
    <x v="235"/>
    <x v="9"/>
    <s v="Chilli"/>
    <n v="11"/>
    <m/>
    <n v="2"/>
    <n v="3"/>
    <m/>
    <n v="4"/>
    <n v="2"/>
    <m/>
    <m/>
    <m/>
    <x v="682"/>
    <m/>
    <m/>
  </r>
  <r>
    <m/>
    <x v="236"/>
    <x v="13"/>
    <s v="Holly"/>
    <n v="13"/>
    <m/>
    <n v="1"/>
    <n v="3"/>
    <n v="7"/>
    <n v="1"/>
    <n v="1"/>
    <m/>
    <m/>
    <m/>
    <x v="683"/>
    <m/>
    <m/>
  </r>
  <r>
    <m/>
    <x v="236"/>
    <x v="1"/>
    <s v="Čaky"/>
    <n v="7"/>
    <m/>
    <n v="1"/>
    <n v="1"/>
    <m/>
    <n v="4"/>
    <n v="1"/>
    <m/>
    <m/>
    <m/>
    <x v="684"/>
    <m/>
    <m/>
  </r>
  <r>
    <m/>
    <x v="236"/>
    <x v="4"/>
    <s v="Ája"/>
    <n v="2"/>
    <m/>
    <n v="1"/>
    <m/>
    <m/>
    <n v="1"/>
    <m/>
    <m/>
    <m/>
    <m/>
    <x v="685"/>
    <m/>
    <m/>
  </r>
  <r>
    <m/>
    <x v="236"/>
    <x v="10"/>
    <s v="Lája + Bianca"/>
    <n v="16"/>
    <m/>
    <n v="3"/>
    <n v="1"/>
    <n v="1"/>
    <n v="9"/>
    <n v="1"/>
    <n v="1"/>
    <m/>
    <m/>
    <x v="686"/>
    <m/>
    <m/>
  </r>
  <r>
    <m/>
    <x v="236"/>
    <x v="5"/>
    <s v="Bessie + Mína"/>
    <n v="5"/>
    <m/>
    <m/>
    <n v="2"/>
    <m/>
    <n v="3"/>
    <m/>
    <m/>
    <m/>
    <m/>
    <x v="687"/>
    <m/>
    <m/>
  </r>
  <r>
    <m/>
    <x v="236"/>
    <x v="16"/>
    <s v="Art"/>
    <n v="6"/>
    <m/>
    <m/>
    <m/>
    <n v="5"/>
    <n v="1"/>
    <m/>
    <m/>
    <m/>
    <m/>
    <x v="688"/>
    <m/>
    <m/>
  </r>
  <r>
    <m/>
    <x v="237"/>
    <x v="44"/>
    <s v="Fanča"/>
    <n v="9"/>
    <m/>
    <m/>
    <n v="2"/>
    <n v="3"/>
    <n v="4"/>
    <m/>
    <m/>
    <m/>
    <m/>
    <x v="689"/>
    <m/>
    <m/>
  </r>
  <r>
    <m/>
    <x v="237"/>
    <x v="20"/>
    <s v="Baron"/>
    <n v="5"/>
    <m/>
    <m/>
    <n v="1"/>
    <m/>
    <n v="2"/>
    <n v="1"/>
    <n v="1"/>
    <m/>
    <m/>
    <x v="690"/>
    <m/>
    <m/>
  </r>
  <r>
    <m/>
    <x v="238"/>
    <x v="23"/>
    <s v="Denis"/>
    <n v="2"/>
    <m/>
    <m/>
    <n v="1"/>
    <m/>
    <n v="1"/>
    <m/>
    <m/>
    <m/>
    <m/>
    <x v="691"/>
    <m/>
    <m/>
  </r>
  <r>
    <m/>
    <x v="238"/>
    <x v="5"/>
    <s v="Bessie + Mína"/>
    <n v="9"/>
    <m/>
    <n v="1"/>
    <m/>
    <m/>
    <n v="7"/>
    <n v="1"/>
    <m/>
    <m/>
    <m/>
    <x v="692"/>
    <m/>
    <s v="https://mapy.cz/s/fumatefepa "/>
  </r>
  <r>
    <m/>
    <x v="239"/>
    <x v="50"/>
    <s v="Ebby"/>
    <n v="1"/>
    <m/>
    <m/>
    <m/>
    <m/>
    <m/>
    <n v="1"/>
    <m/>
    <m/>
    <m/>
    <x v="25"/>
    <m/>
    <m/>
  </r>
  <r>
    <m/>
    <x v="239"/>
    <x v="12"/>
    <s v="Bara"/>
    <n v="15"/>
    <m/>
    <m/>
    <n v="1"/>
    <n v="6"/>
    <n v="2"/>
    <n v="4"/>
    <n v="2"/>
    <m/>
    <m/>
    <x v="693"/>
    <m/>
    <m/>
  </r>
  <r>
    <m/>
    <x v="239"/>
    <x v="49"/>
    <s v="Ctisl. + Bramína"/>
    <n v="3"/>
    <m/>
    <n v="1"/>
    <m/>
    <m/>
    <n v="2"/>
    <m/>
    <m/>
    <m/>
    <m/>
    <x v="694"/>
    <m/>
    <m/>
  </r>
  <r>
    <m/>
    <x v="239"/>
    <x v="1"/>
    <s v="Čaky"/>
    <n v="13"/>
    <m/>
    <m/>
    <n v="1"/>
    <n v="10"/>
    <m/>
    <n v="1"/>
    <n v="1"/>
    <m/>
    <m/>
    <x v="695"/>
    <m/>
    <s v="https://mapy.cz/s/bulonopepu?fbclid=IwAR3ON1KjQTdIYzT_On0PvYZpUTZFGELHLWoN-Lx0u3N011cJMACLMtbTU50"/>
  </r>
  <r>
    <m/>
    <x v="239"/>
    <x v="10"/>
    <s v="Lája + Bianca"/>
    <n v="6"/>
    <n v="1"/>
    <m/>
    <n v="1"/>
    <m/>
    <n v="3"/>
    <n v="1"/>
    <m/>
    <m/>
    <m/>
    <x v="696"/>
    <m/>
    <m/>
  </r>
  <r>
    <m/>
    <x v="239"/>
    <x v="5"/>
    <s v="Bessie + Mína"/>
    <n v="6"/>
    <n v="1"/>
    <n v="1"/>
    <n v="1"/>
    <m/>
    <n v="2"/>
    <n v="1"/>
    <m/>
    <m/>
    <m/>
    <x v="697"/>
    <m/>
    <m/>
  </r>
  <r>
    <m/>
    <x v="239"/>
    <x v="16"/>
    <s v="Art"/>
    <n v="4"/>
    <m/>
    <m/>
    <n v="1"/>
    <m/>
    <n v="3"/>
    <m/>
    <m/>
    <m/>
    <m/>
    <x v="698"/>
    <m/>
    <m/>
  </r>
  <r>
    <m/>
    <x v="240"/>
    <x v="11"/>
    <s v="Beky"/>
    <n v="1"/>
    <m/>
    <m/>
    <m/>
    <m/>
    <n v="1"/>
    <m/>
    <m/>
    <m/>
    <m/>
    <x v="0"/>
    <m/>
    <m/>
  </r>
  <r>
    <m/>
    <x v="240"/>
    <x v="51"/>
    <s v="Bája"/>
    <n v="3"/>
    <m/>
    <m/>
    <m/>
    <n v="1"/>
    <n v="2"/>
    <m/>
    <m/>
    <m/>
    <m/>
    <x v="699"/>
    <m/>
    <m/>
  </r>
  <r>
    <m/>
    <x v="240"/>
    <x v="25"/>
    <s v="Iber"/>
    <n v="11"/>
    <m/>
    <n v="1"/>
    <n v="1"/>
    <n v="2"/>
    <n v="6"/>
    <n v="1"/>
    <m/>
    <m/>
    <m/>
    <x v="700"/>
    <m/>
    <m/>
  </r>
  <r>
    <m/>
    <x v="240"/>
    <x v="9"/>
    <s v="Chilli"/>
    <n v="4"/>
    <m/>
    <n v="3"/>
    <m/>
    <m/>
    <n v="1"/>
    <m/>
    <m/>
    <m/>
    <m/>
    <x v="701"/>
    <m/>
    <m/>
  </r>
  <r>
    <m/>
    <x v="240"/>
    <x v="5"/>
    <s v="Bessie + Mína"/>
    <n v="7"/>
    <m/>
    <n v="2"/>
    <n v="2"/>
    <m/>
    <n v="3"/>
    <m/>
    <m/>
    <m/>
    <m/>
    <x v="702"/>
    <m/>
    <s v="https://mapy.cz/s/kubesukata https://mapy.cz/s/movofukepa   "/>
  </r>
  <r>
    <m/>
    <x v="240"/>
    <x v="16"/>
    <s v="Art"/>
    <n v="12"/>
    <m/>
    <n v="1"/>
    <m/>
    <m/>
    <n v="8"/>
    <n v="3"/>
    <m/>
    <m/>
    <m/>
    <x v="703"/>
    <m/>
    <m/>
  </r>
  <r>
    <m/>
    <x v="241"/>
    <x v="20"/>
    <s v="Baron"/>
    <n v="1"/>
    <m/>
    <m/>
    <m/>
    <m/>
    <m/>
    <m/>
    <n v="1"/>
    <m/>
    <m/>
    <x v="704"/>
    <m/>
    <m/>
  </r>
  <r>
    <m/>
    <x v="242"/>
    <x v="10"/>
    <s v="Lája + Bianca"/>
    <n v="13"/>
    <m/>
    <n v="2"/>
    <n v="3"/>
    <m/>
    <n v="5"/>
    <n v="2"/>
    <n v="1"/>
    <m/>
    <m/>
    <x v="705"/>
    <m/>
    <m/>
  </r>
  <r>
    <m/>
    <x v="242"/>
    <x v="7"/>
    <s v="Argo"/>
    <n v="1"/>
    <m/>
    <m/>
    <m/>
    <m/>
    <n v="1"/>
    <m/>
    <m/>
    <m/>
    <m/>
    <x v="706"/>
    <m/>
    <m/>
  </r>
  <r>
    <m/>
    <x v="243"/>
    <x v="49"/>
    <s v="Ctisl. + Bramína"/>
    <n v="4"/>
    <m/>
    <m/>
    <m/>
    <m/>
    <n v="3"/>
    <n v="1"/>
    <m/>
    <m/>
    <m/>
    <x v="707"/>
    <m/>
    <m/>
  </r>
  <r>
    <m/>
    <x v="243"/>
    <x v="12"/>
    <s v="Bara"/>
    <n v="4"/>
    <m/>
    <n v="1"/>
    <m/>
    <m/>
    <n v="1"/>
    <m/>
    <n v="2"/>
    <m/>
    <m/>
    <x v="708"/>
    <m/>
    <m/>
  </r>
  <r>
    <m/>
    <x v="243"/>
    <x v="16"/>
    <s v="Art"/>
    <n v="9"/>
    <m/>
    <m/>
    <n v="1"/>
    <n v="6"/>
    <n v="1"/>
    <m/>
    <n v="1"/>
    <m/>
    <m/>
    <x v="709"/>
    <m/>
    <m/>
  </r>
  <r>
    <m/>
    <x v="244"/>
    <x v="1"/>
    <s v="Čaky"/>
    <n v="1"/>
    <m/>
    <m/>
    <m/>
    <m/>
    <m/>
    <n v="1"/>
    <m/>
    <m/>
    <m/>
    <x v="710"/>
    <m/>
    <m/>
  </r>
  <r>
    <m/>
    <x v="244"/>
    <x v="5"/>
    <s v="Bessie + Mína"/>
    <n v="1"/>
    <m/>
    <m/>
    <m/>
    <m/>
    <n v="1"/>
    <m/>
    <m/>
    <m/>
    <m/>
    <x v="711"/>
    <m/>
    <m/>
  </r>
  <r>
    <m/>
    <x v="244"/>
    <x v="12"/>
    <s v="Bara"/>
    <n v="12"/>
    <m/>
    <n v="1"/>
    <n v="1"/>
    <m/>
    <n v="6"/>
    <n v="2"/>
    <n v="2"/>
    <m/>
    <m/>
    <x v="712"/>
    <m/>
    <m/>
  </r>
  <r>
    <m/>
    <x v="244"/>
    <x v="25"/>
    <s v="Iber"/>
    <n v="3"/>
    <m/>
    <m/>
    <m/>
    <m/>
    <n v="2"/>
    <m/>
    <n v="1"/>
    <m/>
    <m/>
    <x v="713"/>
    <m/>
    <m/>
  </r>
  <r>
    <m/>
    <x v="244"/>
    <x v="16"/>
    <s v="Art"/>
    <n v="4"/>
    <m/>
    <m/>
    <n v="2"/>
    <m/>
    <n v="2"/>
    <m/>
    <m/>
    <m/>
    <m/>
    <x v="714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  <r>
    <m/>
    <x v="245"/>
    <x v="52"/>
    <m/>
    <n v="0"/>
    <m/>
    <m/>
    <m/>
    <m/>
    <m/>
    <m/>
    <m/>
    <m/>
    <m/>
    <x v="71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m/>
    <d v="2009-11-10T00:00:00"/>
    <s v="Urabetzová Renata"/>
    <s v="Abigail"/>
    <n v="1"/>
    <m/>
    <m/>
    <m/>
    <m/>
    <n v="1"/>
    <m/>
    <m/>
    <m/>
    <m/>
    <s v="Babí lom"/>
  </r>
  <r>
    <m/>
    <d v="2019-01-04T00:00:00"/>
    <s v="Nedoma Radim"/>
    <s v="Čaky"/>
    <n v="1"/>
    <m/>
    <m/>
    <m/>
    <m/>
    <n v="1"/>
    <m/>
    <m/>
    <m/>
    <m/>
    <s v="Velký Javorník"/>
  </r>
  <r>
    <m/>
    <d v="2019-01-06T00:00:00"/>
    <s v="Vojtková Zuzana"/>
    <s v="Lara"/>
    <n v="1"/>
    <m/>
    <m/>
    <m/>
    <n v="1"/>
    <m/>
    <m/>
    <m/>
    <m/>
    <m/>
    <s v="Smrk"/>
  </r>
  <r>
    <m/>
    <d v="2019-01-07T00:00:00"/>
    <s v="Pletichová Wild.Lea"/>
    <s v="Cíňa + Lestie"/>
    <n v="1"/>
    <m/>
    <n v="1"/>
    <m/>
    <m/>
    <m/>
    <m/>
    <m/>
    <m/>
    <m/>
    <s v="NPP Panská skála"/>
  </r>
  <r>
    <m/>
    <d v="2019-01-11T00:00:00"/>
    <s v="Nedoma Radim"/>
    <s v="Čaky"/>
    <n v="2"/>
    <m/>
    <n v="1"/>
    <m/>
    <m/>
    <n v="1"/>
    <m/>
    <m/>
    <m/>
    <m/>
    <s v="jeskyně Šipka, Trúba Štramberk"/>
  </r>
  <r>
    <m/>
    <d v="2019-01-11T00:00:00"/>
    <s v="Šmerdovi"/>
    <s v="Ája"/>
    <n v="1"/>
    <m/>
    <m/>
    <n v="1"/>
    <m/>
    <m/>
    <m/>
    <m/>
    <m/>
    <m/>
    <s v="Rašeliniště Jizerky"/>
  </r>
  <r>
    <m/>
    <d v="2019-01-12T00:00:00"/>
    <s v="Kouřil Milan"/>
    <s v="Bessie + Mína"/>
    <n v="3"/>
    <m/>
    <n v="2"/>
    <n v="1"/>
    <m/>
    <m/>
    <m/>
    <m/>
    <m/>
    <m/>
    <s v="NPP Kotýz + Zlatý kůň, NPR Koda"/>
  </r>
  <r>
    <m/>
    <d v="2019-01-12T00:00:00"/>
    <s v="Šmerdovi"/>
    <s v="Ája"/>
    <n v="2"/>
    <n v="1"/>
    <m/>
    <m/>
    <m/>
    <n v="1"/>
    <m/>
    <m/>
    <m/>
    <m/>
    <s v="KRNAP, rozhledna Štěpánka"/>
  </r>
  <r>
    <m/>
    <d v="2019-01-13T00:00:00"/>
    <s v="Baláková Jana"/>
    <s v="Dixi"/>
    <n v="2"/>
    <m/>
    <m/>
    <m/>
    <n v="1"/>
    <n v="1"/>
    <m/>
    <m/>
    <m/>
    <m/>
    <s v="Kleť"/>
  </r>
  <r>
    <m/>
    <d v="2019-01-13T00:00:00"/>
    <s v="Kroupová Aneta"/>
    <s v="Argo"/>
    <n v="2"/>
    <m/>
    <m/>
    <m/>
    <n v="1"/>
    <n v="1"/>
    <m/>
    <m/>
    <m/>
    <m/>
    <s v="Kleť"/>
  </r>
  <r>
    <m/>
    <d v="2019-01-13T00:00:00"/>
    <s v="Pečinková Ivana"/>
    <s v="Tara"/>
    <n v="1"/>
    <m/>
    <m/>
    <m/>
    <n v="1"/>
    <m/>
    <m/>
    <m/>
    <m/>
    <m/>
    <s v="Lysá hora"/>
  </r>
  <r>
    <m/>
    <d v="2019-01-13T00:00:00"/>
    <s v="Minolová Jana"/>
    <s v="Chilli"/>
    <n v="1"/>
    <m/>
    <m/>
    <m/>
    <m/>
    <n v="1"/>
    <m/>
    <m/>
    <m/>
    <m/>
    <s v="Vysoký vrch"/>
  </r>
  <r>
    <m/>
    <d v="2019-01-13T00:00:00"/>
    <s v="Vrkoč Ivan"/>
    <s v="Lája + Bianca"/>
    <n v="2"/>
    <m/>
    <m/>
    <m/>
    <n v="1"/>
    <n v="1"/>
    <m/>
    <m/>
    <m/>
    <m/>
    <s v="Kleť"/>
  </r>
  <r>
    <m/>
    <d v="2019-01-16T00:00:00"/>
    <s v="Kouřil Milan"/>
    <s v="Bessie + Mína"/>
    <n v="1"/>
    <m/>
    <n v="1"/>
    <m/>
    <m/>
    <m/>
    <m/>
    <m/>
    <m/>
    <m/>
    <s v="NPP Pouzdřanská step-Kolby"/>
  </r>
  <r>
    <m/>
    <d v="2019-01-18T00:00:00"/>
    <s v="Vrkoč Ivan"/>
    <s v="Lája + Bianca"/>
    <n v="2"/>
    <m/>
    <m/>
    <m/>
    <m/>
    <n v="2"/>
    <m/>
    <m/>
    <m/>
    <m/>
    <s v="rozhledna Vl. Menšíka, Kukla"/>
  </r>
  <r>
    <m/>
    <d v="2019-01-19T00:00:00"/>
    <s v="Kouřil Milan"/>
    <s v="Bessie + Mína"/>
    <n v="5"/>
    <m/>
    <n v="1"/>
    <n v="1"/>
    <m/>
    <n v="2"/>
    <n v="1"/>
    <m/>
    <m/>
    <m/>
    <s v="Dyje+Trkmanka,Minaret,Pastvisko,Lednické rybníky,Kolonáda "/>
  </r>
  <r>
    <m/>
    <d v="2019-01-19T00:00:00"/>
    <s v="Štraitová Milada"/>
    <s v="Beky"/>
    <n v="5"/>
    <m/>
    <n v="2"/>
    <n v="1"/>
    <m/>
    <n v="2"/>
    <m/>
    <m/>
    <m/>
    <m/>
    <s v="Červený kopec,Pastvisko,Lednické rybníky,Minaret, Kolonáda"/>
  </r>
  <r>
    <m/>
    <d v="2019-01-19T00:00:00"/>
    <s v="Pletichová Wild.Lea"/>
    <s v="Cíňa + Lestie"/>
    <n v="1"/>
    <m/>
    <m/>
    <m/>
    <m/>
    <n v="1"/>
    <m/>
    <m/>
    <m/>
    <m/>
    <s v="rozhledna Černá Studnice"/>
  </r>
  <r>
    <m/>
    <d v="2019-01-19T00:00:00"/>
    <s v="Weiterovi"/>
    <s v="Bara"/>
    <n v="2"/>
    <m/>
    <m/>
    <m/>
    <n v="1"/>
    <n v="1"/>
    <m/>
    <m/>
    <m/>
    <m/>
    <s v="Kleť "/>
  </r>
  <r>
    <m/>
    <d v="2019-01-20T00:00:00"/>
    <s v="Míka Marek"/>
    <s v="Holly"/>
    <n v="2"/>
    <m/>
    <m/>
    <m/>
    <m/>
    <n v="1"/>
    <m/>
    <m/>
    <m/>
    <n v="1"/>
    <s v="Blaník + rozhledna"/>
  </r>
  <r>
    <m/>
    <d v="2019-01-20T00:00:00"/>
    <s v="Kalinová Jana"/>
    <s v="Bigi"/>
    <n v="2"/>
    <m/>
    <m/>
    <m/>
    <m/>
    <n v="1"/>
    <m/>
    <m/>
    <m/>
    <n v="1"/>
    <s v="Blaník + rozhledna"/>
  </r>
  <r>
    <m/>
    <d v="2019-01-20T00:00:00"/>
    <s v="Kouřil Milan"/>
    <s v="Bessie + Mína"/>
    <n v="1"/>
    <m/>
    <m/>
    <m/>
    <m/>
    <n v="1"/>
    <m/>
    <m/>
    <m/>
    <m/>
    <s v="Doubravka"/>
  </r>
  <r>
    <m/>
    <d v="2019-01-20T00:00:00"/>
    <s v="Nedoma Radim"/>
    <s v="Čaky"/>
    <n v="1"/>
    <m/>
    <m/>
    <m/>
    <m/>
    <n v="1"/>
    <m/>
    <m/>
    <m/>
    <m/>
    <s v="Jurkovičova "/>
  </r>
  <r>
    <m/>
    <d v="2019-01-20T00:00:00"/>
    <s v="Minolová Jana"/>
    <s v="Chilli"/>
    <n v="3"/>
    <m/>
    <m/>
    <m/>
    <m/>
    <n v="2"/>
    <m/>
    <n v="1"/>
    <m/>
    <m/>
    <s v="Nisanka, Bramberk, pramen Nisy"/>
  </r>
  <r>
    <m/>
    <d v="2019-01-21T00:00:00"/>
    <s v="Minolová Jana"/>
    <s v="Chilli"/>
    <n v="1"/>
    <m/>
    <m/>
    <m/>
    <m/>
    <n v="1"/>
    <m/>
    <m/>
    <m/>
    <m/>
    <s v="Cibulka "/>
  </r>
  <r>
    <m/>
    <d v="2019-01-22T00:00:00"/>
    <s v="Vrkoč Ivan"/>
    <s v="Lája + Bianca"/>
    <n v="2"/>
    <m/>
    <m/>
    <n v="1"/>
    <m/>
    <n v="1"/>
    <m/>
    <m/>
    <m/>
    <m/>
    <s v="NPR Velký a Malý Tisý, rozhledna Lomnice n.L."/>
  </r>
  <r>
    <m/>
    <d v="2019-01-23T00:00:00"/>
    <s v="Nedoma Radim"/>
    <s v="Čaky"/>
    <n v="2"/>
    <m/>
    <m/>
    <n v="1"/>
    <n v="1"/>
    <m/>
    <m/>
    <m/>
    <m/>
    <m/>
    <s v="NPR Mazák, Lysá hora"/>
  </r>
  <r>
    <m/>
    <d v="2019-01-24T00:00:00"/>
    <s v="Vrkoč Ivan"/>
    <s v="Lája + Bianca"/>
    <n v="1"/>
    <m/>
    <m/>
    <m/>
    <m/>
    <m/>
    <n v="1"/>
    <m/>
    <m/>
    <m/>
    <s v="Stropnice+Malše"/>
  </r>
  <r>
    <m/>
    <d v="2019-01-24T00:00:00"/>
    <s v="Weiterovi"/>
    <s v="Bara"/>
    <n v="1"/>
    <m/>
    <m/>
    <m/>
    <m/>
    <m/>
    <n v="1"/>
    <m/>
    <m/>
    <m/>
    <s v="soutok Malše a Vltavy"/>
  </r>
  <r>
    <m/>
    <d v="2019-01-25T00:00:00"/>
    <s v="Kalinová Jana"/>
    <s v="Bigi"/>
    <n v="2"/>
    <m/>
    <m/>
    <m/>
    <m/>
    <n v="1"/>
    <n v="1"/>
    <m/>
    <m/>
    <m/>
    <s v="rozhledna Babka,  Želivka+Sázava"/>
  </r>
  <r>
    <m/>
    <d v="2019-01-25T00:00:00"/>
    <s v="Vrkoč Ivan"/>
    <s v="Lája + Bianca"/>
    <n v="3"/>
    <m/>
    <m/>
    <m/>
    <m/>
    <n v="1"/>
    <n v="2"/>
    <m/>
    <m/>
    <m/>
    <s v="rozhledna Semenec, soutok Vltavy+Lužnice,Lužnice+Smutné"/>
  </r>
  <r>
    <m/>
    <d v="2019-01-26T00:00:00"/>
    <s v="Kouřil Milan"/>
    <s v="Bessie + Mína"/>
    <n v="4"/>
    <m/>
    <n v="3"/>
    <m/>
    <m/>
    <n v="1"/>
    <m/>
    <m/>
    <m/>
    <m/>
    <s v="NPP U Nového mlýna+Dalejský profil+Požáry, rozhl. Cibulka"/>
  </r>
  <r>
    <m/>
    <d v="2019-01-26T00:00:00"/>
    <s v="Štraitová Milada"/>
    <s v="Beky"/>
    <n v="1"/>
    <m/>
    <m/>
    <n v="1"/>
    <m/>
    <m/>
    <m/>
    <m/>
    <m/>
    <m/>
    <s v="NPR Krumlovsko-rokytenské slepence"/>
  </r>
  <r>
    <m/>
    <d v="2019-01-26T00:00:00"/>
    <s v="Bečvářová Martina"/>
    <s v="Alma"/>
    <n v="2"/>
    <m/>
    <m/>
    <m/>
    <m/>
    <n v="1"/>
    <n v="1"/>
    <m/>
    <m/>
    <m/>
    <s v="rozhledna Semenec, soutok Vltavy a Lužnice"/>
  </r>
  <r>
    <m/>
    <d v="2019-01-26T00:00:00"/>
    <s v="Míka Marek"/>
    <s v="Holly"/>
    <n v="1"/>
    <m/>
    <m/>
    <m/>
    <m/>
    <n v="1"/>
    <m/>
    <m/>
    <m/>
    <m/>
    <s v="rozhledna Špulka"/>
  </r>
  <r>
    <m/>
    <d v="2019-01-26T00:00:00"/>
    <s v="Libenská Katka"/>
    <s v="Art"/>
    <n v="1"/>
    <m/>
    <m/>
    <m/>
    <m/>
    <n v="1"/>
    <m/>
    <m/>
    <m/>
    <m/>
    <s v="rozhledna Krakovec"/>
  </r>
  <r>
    <m/>
    <d v="2019-01-26T00:00:00"/>
    <s v="Urabetzová Renata"/>
    <s v="Abigail"/>
    <n v="1"/>
    <m/>
    <m/>
    <n v="1"/>
    <m/>
    <m/>
    <m/>
    <m/>
    <m/>
    <m/>
    <s v="NPR Krumlovsko-rokytenské slepence"/>
  </r>
  <r>
    <m/>
    <d v="2019-01-26T00:00:00"/>
    <s v="Minolová Jana"/>
    <s v="Chilli"/>
    <n v="1"/>
    <m/>
    <m/>
    <m/>
    <m/>
    <n v="1"/>
    <m/>
    <m/>
    <m/>
    <m/>
    <s v="rozhledna Děd"/>
  </r>
  <r>
    <m/>
    <d v="2019-01-26T00:00:00"/>
    <s v="Weiterovi"/>
    <s v="Bara"/>
    <n v="1"/>
    <m/>
    <m/>
    <m/>
    <m/>
    <n v="1"/>
    <m/>
    <m/>
    <m/>
    <m/>
    <s v="Granátník"/>
  </r>
  <r>
    <m/>
    <d v="2019-01-27T00:00:00"/>
    <s v="Nedoma Radim"/>
    <s v="Čaky"/>
    <n v="2"/>
    <m/>
    <m/>
    <n v="1"/>
    <m/>
    <n v="1"/>
    <m/>
    <m/>
    <m/>
    <m/>
    <s v="NPR Kralický Sněžník, Stezka v oblacích Dolní Morava"/>
  </r>
  <r>
    <m/>
    <d v="2019-01-27T00:00:00"/>
    <s v="Novotná Tatiana"/>
    <s v="Sid"/>
    <n v="2"/>
    <m/>
    <m/>
    <m/>
    <n v="1"/>
    <n v="1"/>
    <m/>
    <m/>
    <m/>
    <m/>
    <s v="Kleť"/>
  </r>
  <r>
    <m/>
    <d v="2019-01-27T00:00:00"/>
    <s v="Kalinová Jana"/>
    <s v="Bigi"/>
    <n v="2"/>
    <m/>
    <m/>
    <m/>
    <m/>
    <n v="1"/>
    <n v="1"/>
    <m/>
    <m/>
    <m/>
    <s v="rozhledna Český Šternberk, soutok Blanice a Sázavy"/>
  </r>
  <r>
    <m/>
    <d v="2019-01-27T00:00:00"/>
    <s v="Kučerová Iveta"/>
    <s v="Gimi"/>
    <n v="1"/>
    <m/>
    <m/>
    <m/>
    <m/>
    <n v="1"/>
    <m/>
    <m/>
    <m/>
    <m/>
    <s v="rozhledna V Popelkách"/>
  </r>
  <r>
    <m/>
    <d v="2019-01-27T00:00:00"/>
    <s v="Vrkoč Ivan"/>
    <s v="Lája + Bianca"/>
    <n v="2"/>
    <m/>
    <m/>
    <m/>
    <n v="1"/>
    <n v="1"/>
    <m/>
    <m/>
    <m/>
    <m/>
    <s v="hora Vysoká, rozhledna Kraví hora"/>
  </r>
  <r>
    <m/>
    <d v="2019-01-27T00:00:00"/>
    <s v="Minolová Jana"/>
    <s v="Chilli"/>
    <n v="1"/>
    <m/>
    <m/>
    <m/>
    <m/>
    <n v="1"/>
    <m/>
    <m/>
    <m/>
    <m/>
    <s v="rozhledna Veselov"/>
  </r>
  <r>
    <m/>
    <d v="2019-01-27T00:00:00"/>
    <s v="Kroupová Aneta"/>
    <s v="Argo"/>
    <n v="1"/>
    <m/>
    <m/>
    <m/>
    <m/>
    <n v="1"/>
    <m/>
    <m/>
    <m/>
    <m/>
    <s v="Granátník"/>
  </r>
  <r>
    <m/>
    <d v="2019-01-27T00:00:00"/>
    <s v="Weiterovi"/>
    <s v="Bara"/>
    <n v="3"/>
    <m/>
    <m/>
    <n v="1"/>
    <m/>
    <n v="1"/>
    <n v="1"/>
    <m/>
    <m/>
    <m/>
    <s v="NPR Řežabinské tůně, rozh. Řežabinec, Blanice a Otavy"/>
  </r>
  <r>
    <m/>
    <d v="2019-01-28T00:00:00"/>
    <s v="Pletichová Wild.Lea"/>
    <s v="Cíňa + Lestie"/>
    <n v="2"/>
    <m/>
    <m/>
    <m/>
    <m/>
    <m/>
    <n v="1"/>
    <m/>
    <n v="1"/>
    <m/>
    <s v="soutok Vltavy a Labe, hora Říp"/>
  </r>
  <r>
    <m/>
    <d v="2019-01-29T00:00:00"/>
    <s v="Kouřil Milan"/>
    <s v="Bessie + Mína"/>
    <n v="3"/>
    <m/>
    <m/>
    <n v="1"/>
    <m/>
    <n v="2"/>
    <m/>
    <m/>
    <m/>
    <m/>
    <s v="NPR Křivé jezero, rozhledny Dalibor a Maják"/>
  </r>
  <r>
    <m/>
    <d v="2019-01-29T00:00:00"/>
    <s v="Vrkoč Ivan"/>
    <s v="Lája + Bianca"/>
    <n v="3"/>
    <m/>
    <m/>
    <n v="1"/>
    <m/>
    <n v="1"/>
    <n v="1"/>
    <m/>
    <m/>
    <m/>
    <s v="NPR Řežab. tůně, rozhl.Řežabinec, soutok Blanice a Otavy"/>
  </r>
  <r>
    <m/>
    <d v="2019-01-30T00:00:00"/>
    <s v="Kučerová Iveta"/>
    <s v="Gimi"/>
    <n v="2"/>
    <m/>
    <m/>
    <m/>
    <m/>
    <n v="2"/>
    <m/>
    <m/>
    <m/>
    <m/>
    <s v="Tichánkova věž-rozhledna Tábor, Allainova věž"/>
  </r>
  <r>
    <m/>
    <d v="2019-01-31T00:00:00"/>
    <s v="Vrkoč Ivan"/>
    <s v="Lája + Bianca"/>
    <n v="1"/>
    <m/>
    <m/>
    <m/>
    <m/>
    <n v="1"/>
    <m/>
    <m/>
    <m/>
    <m/>
    <s v="Vysoký Kamýk"/>
  </r>
  <r>
    <m/>
    <d v="2019-02-01T00:00:00"/>
    <s v="Kouřil Milan"/>
    <s v="Bessie + Mína"/>
    <n v="2"/>
    <m/>
    <m/>
    <m/>
    <m/>
    <n v="1"/>
    <n v="1"/>
    <m/>
    <m/>
    <m/>
    <s v="Akátová věž, soutok Svratky a Litavy"/>
  </r>
  <r>
    <m/>
    <d v="2019-02-01T00:00:00"/>
    <s v="Vrkoč Ivan"/>
    <s v="Lája + Bianca"/>
    <n v="3"/>
    <m/>
    <m/>
    <m/>
    <m/>
    <n v="3"/>
    <m/>
    <m/>
    <m/>
    <m/>
    <s v="Hýlačka, Kotnov, Babina"/>
  </r>
  <r>
    <m/>
    <d v="2019-02-01T00:00:00"/>
    <s v="Vojtková Zuzana"/>
    <s v="Lara"/>
    <n v="1"/>
    <m/>
    <m/>
    <m/>
    <n v="1"/>
    <m/>
    <m/>
    <m/>
    <m/>
    <m/>
    <s v="Radegast"/>
  </r>
  <r>
    <m/>
    <d v="2019-02-02T00:00:00"/>
    <s v="Kalinová Jana"/>
    <s v="Bigi"/>
    <n v="1"/>
    <m/>
    <m/>
    <m/>
    <m/>
    <n v="1"/>
    <m/>
    <m/>
    <m/>
    <m/>
    <s v="Kupa"/>
  </r>
  <r>
    <m/>
    <d v="2019-02-02T00:00:00"/>
    <s v="Kouřil Milan"/>
    <s v="Bessie + Mína"/>
    <n v="3"/>
    <m/>
    <n v="1"/>
    <m/>
    <m/>
    <n v="2"/>
    <m/>
    <m/>
    <m/>
    <m/>
    <s v="NPP Červený kopec,  Brněnské výstaviště, Kamenný vrch"/>
  </r>
  <r>
    <m/>
    <d v="2019-02-02T00:00:00"/>
    <s v="Štraitová Milada"/>
    <s v="Beky"/>
    <n v="2"/>
    <m/>
    <m/>
    <m/>
    <m/>
    <n v="2"/>
    <m/>
    <m/>
    <m/>
    <m/>
    <s v="Brněnské výstaviště, Kamenný vrch"/>
  </r>
  <r>
    <m/>
    <d v="2019-02-02T00:00:00"/>
    <s v="Minolová Jana"/>
    <s v="Chilli"/>
    <n v="1"/>
    <m/>
    <m/>
    <m/>
    <m/>
    <n v="1"/>
    <m/>
    <m/>
    <m/>
    <m/>
    <s v="Doubravka"/>
  </r>
  <r>
    <m/>
    <d v="2019-02-02T00:00:00"/>
    <s v="Weiterovi"/>
    <s v="Bara"/>
    <n v="1"/>
    <m/>
    <m/>
    <m/>
    <m/>
    <m/>
    <m/>
    <n v="1"/>
    <m/>
    <m/>
    <s v="pramen Chrudimky"/>
  </r>
  <r>
    <m/>
    <d v="2019-02-03T00:00:00"/>
    <s v="Libenská Katka"/>
    <s v="Art"/>
    <n v="1"/>
    <m/>
    <m/>
    <m/>
    <m/>
    <n v="1"/>
    <m/>
    <m/>
    <m/>
    <m/>
    <s v="Na Skále"/>
  </r>
  <r>
    <m/>
    <d v="2019-02-03T00:00:00"/>
    <s v="Urabetzová Renata"/>
    <s v="Abigail"/>
    <n v="1"/>
    <m/>
    <m/>
    <m/>
    <m/>
    <n v="1"/>
    <m/>
    <m/>
    <m/>
    <m/>
    <s v="Brněnské výstaviště"/>
  </r>
  <r>
    <m/>
    <d v="2019-02-04T00:00:00"/>
    <s v="Kouřil Milan"/>
    <s v="Bessie + Mína"/>
    <n v="1"/>
    <m/>
    <m/>
    <m/>
    <m/>
    <n v="1"/>
    <m/>
    <m/>
    <m/>
    <m/>
    <s v="Hustopeče"/>
  </r>
  <r>
    <m/>
    <d v="2019-02-04T00:00:00"/>
    <s v="Libenská Katka"/>
    <s v="Art"/>
    <n v="1"/>
    <m/>
    <m/>
    <m/>
    <m/>
    <n v="1"/>
    <m/>
    <m/>
    <m/>
    <m/>
    <s v="Sylván"/>
  </r>
  <r>
    <m/>
    <d v="2019-02-04T00:00:00"/>
    <s v="Urabetzová Renata"/>
    <s v="Abigail"/>
    <n v="1"/>
    <m/>
    <m/>
    <m/>
    <m/>
    <n v="1"/>
    <m/>
    <m/>
    <m/>
    <m/>
    <s v="Hustopeče"/>
  </r>
  <r>
    <m/>
    <d v="2019-02-05T00:00:00"/>
    <s v="Kouřil Milan"/>
    <s v="Bessie + Mína"/>
    <n v="1"/>
    <m/>
    <m/>
    <m/>
    <m/>
    <n v="1"/>
    <m/>
    <m/>
    <m/>
    <m/>
    <s v="Klucanina"/>
  </r>
  <r>
    <m/>
    <d v="2019-02-05T00:00:00"/>
    <s v="Minolová Jana"/>
    <s v="Chilli"/>
    <n v="2"/>
    <m/>
    <m/>
    <n v="1"/>
    <m/>
    <n v="1"/>
    <m/>
    <m/>
    <m/>
    <m/>
    <s v="Lhotka u Berouna. NPR Dalejský profil"/>
  </r>
  <r>
    <m/>
    <d v="2019-02-06T00:00:00"/>
    <s v="Nedoma Radim"/>
    <s v="Čaky"/>
    <n v="2"/>
    <m/>
    <m/>
    <m/>
    <m/>
    <n v="2"/>
    <m/>
    <m/>
    <m/>
    <m/>
    <s v="Kabátnice, Okrouhlá"/>
  </r>
  <r>
    <m/>
    <d v="2019-02-07T00:00:00"/>
    <s v="Nedoma Radim"/>
    <s v="Čaky"/>
    <n v="1"/>
    <m/>
    <m/>
    <m/>
    <m/>
    <n v="1"/>
    <m/>
    <m/>
    <m/>
    <m/>
    <s v="Bezručova vyhlídka"/>
  </r>
  <r>
    <m/>
    <d v="2019-02-07T00:00:00"/>
    <s v="Kalinová Jana"/>
    <s v="Bigi"/>
    <n v="1"/>
    <m/>
    <m/>
    <m/>
    <m/>
    <n v="1"/>
    <m/>
    <m/>
    <m/>
    <m/>
    <s v="Špulka"/>
  </r>
  <r>
    <m/>
    <d v="2019-02-07T00:00:00"/>
    <s v="Kouřil Milan"/>
    <s v="Bessie + Mína"/>
    <n v="2"/>
    <m/>
    <m/>
    <m/>
    <m/>
    <n v="2"/>
    <m/>
    <m/>
    <m/>
    <m/>
    <s v="Zlobice, Babí lom"/>
  </r>
  <r>
    <m/>
    <d v="2019-02-07T00:00:00"/>
    <s v="Vrkoč Ivan"/>
    <s v="Lája + Bianca"/>
    <n v="3"/>
    <m/>
    <m/>
    <n v="1"/>
    <n v="1"/>
    <n v="1"/>
    <m/>
    <m/>
    <m/>
    <m/>
    <s v="NPR Vyšenské kopce, Žebříkový kámen, Granátník"/>
  </r>
  <r>
    <m/>
    <d v="2019-02-08T00:00:00"/>
    <s v="Weiterovi"/>
    <s v="Bara"/>
    <n v="2"/>
    <m/>
    <m/>
    <m/>
    <m/>
    <n v="1"/>
    <n v="1"/>
    <m/>
    <m/>
    <m/>
    <s v="soutok Lužnice a Vltavy, Semenec"/>
  </r>
  <r>
    <m/>
    <d v="2019-02-09T00:00:00"/>
    <s v="Kalinová Jana"/>
    <s v="Bigi"/>
    <n v="2"/>
    <m/>
    <m/>
    <m/>
    <m/>
    <n v="2"/>
    <m/>
    <m/>
    <m/>
    <m/>
    <s v="Čermákův vrch, Choustník"/>
  </r>
  <r>
    <m/>
    <d v="2019-02-09T00:00:00"/>
    <s v="Bečvářová Martina"/>
    <s v="Alma"/>
    <n v="1"/>
    <m/>
    <m/>
    <m/>
    <m/>
    <n v="1"/>
    <m/>
    <m/>
    <m/>
    <m/>
    <s v="Čermákův vrch"/>
  </r>
  <r>
    <m/>
    <d v="2019-02-09T00:00:00"/>
    <s v="Nedoma Radim"/>
    <s v="Čaky"/>
    <n v="6"/>
    <m/>
    <m/>
    <n v="1"/>
    <n v="1"/>
    <n v="2"/>
    <m/>
    <n v="2"/>
    <m/>
    <m/>
    <s v="NPR Salajka,Vysoká, roz..Miloňová+Čartak,Vset.+ Rožn.Bečvy"/>
  </r>
  <r>
    <m/>
    <d v="2019-02-09T00:00:00"/>
    <s v="Libenská Katka"/>
    <s v="Art"/>
    <n v="2"/>
    <m/>
    <m/>
    <m/>
    <m/>
    <n v="1"/>
    <n v="1"/>
    <m/>
    <m/>
    <m/>
    <s v="Křížový vrch, soutok Merklínka a Radbuza"/>
  </r>
  <r>
    <m/>
    <d v="2019-02-09T00:00:00"/>
    <s v="Vrkoč Ivan"/>
    <s v="Lája + Bianca"/>
    <n v="5"/>
    <m/>
    <n v="1"/>
    <m/>
    <m/>
    <n v="4"/>
    <m/>
    <m/>
    <m/>
    <m/>
    <s v="NPP Chýnovské jesk.,Svákov,Čermák.vrch,Choustník,Šelmberk"/>
  </r>
  <r>
    <m/>
    <d v="2019-02-09T00:00:00"/>
    <s v="Baláková Jana"/>
    <s v="Dixi"/>
    <n v="2"/>
    <m/>
    <m/>
    <m/>
    <m/>
    <n v="2"/>
    <m/>
    <m/>
    <m/>
    <m/>
    <s v="Čermákův vrch, Choustník"/>
  </r>
  <r>
    <m/>
    <d v="2019-02-09T00:00:00"/>
    <s v="Kroupová Aneta"/>
    <s v="Argo"/>
    <n v="2"/>
    <m/>
    <m/>
    <m/>
    <m/>
    <n v="2"/>
    <m/>
    <m/>
    <m/>
    <m/>
    <s v="Čermákův vrch, Choustník"/>
  </r>
  <r>
    <m/>
    <d v="2019-02-10T00:00:00"/>
    <s v="Kouřil Milan"/>
    <s v="Bessie + Mína"/>
    <n v="4"/>
    <m/>
    <m/>
    <m/>
    <m/>
    <n v="4"/>
    <m/>
    <m/>
    <m/>
    <m/>
    <s v="Novomlýnská věž, Astronomická věž, Mlíkárna, vysílač Žižkov"/>
  </r>
  <r>
    <m/>
    <d v="2019-02-10T00:00:00"/>
    <s v="Minolová Jana"/>
    <s v="Chilli"/>
    <n v="1"/>
    <m/>
    <n v="1"/>
    <m/>
    <m/>
    <m/>
    <m/>
    <m/>
    <m/>
    <m/>
    <s v="NPP Požáry"/>
  </r>
  <r>
    <m/>
    <d v="2019-02-10T00:00:00"/>
    <s v="Štraitová Milada"/>
    <s v="Beky"/>
    <n v="3"/>
    <m/>
    <n v="1"/>
    <n v="1"/>
    <m/>
    <n v="1"/>
    <m/>
    <m/>
    <m/>
    <m/>
    <s v="NPP Stránská skála, NPR Hadecká planinka, Komec"/>
  </r>
  <r>
    <m/>
    <d v="2019-02-10T00:00:00"/>
    <s v="Lachmanová Fany"/>
    <s v="Rory"/>
    <n v="1"/>
    <m/>
    <m/>
    <m/>
    <m/>
    <m/>
    <m/>
    <m/>
    <n v="1"/>
    <m/>
    <s v="Říp"/>
  </r>
  <r>
    <m/>
    <d v="2019-02-11T00:00:00"/>
    <s v="Pichová Alena"/>
    <s v="Baron"/>
    <n v="1"/>
    <m/>
    <m/>
    <m/>
    <m/>
    <n v="1"/>
    <m/>
    <m/>
    <m/>
    <m/>
    <s v="Petřín"/>
  </r>
  <r>
    <m/>
    <d v="2019-02-14T00:00:00"/>
    <s v="Vrkoč Ivan"/>
    <s v="Lája + Bianca"/>
    <n v="6"/>
    <m/>
    <m/>
    <m/>
    <n v="3"/>
    <n v="3"/>
    <m/>
    <m/>
    <m/>
    <m/>
    <s v="Na Skalce,Rohanovský vrch,Libín,Helfenburk,Archeo Netolice"/>
  </r>
  <r>
    <m/>
    <d v="2019-02-14T00:00:00"/>
    <s v="Pichová Alena"/>
    <s v="Baron"/>
    <n v="1"/>
    <m/>
    <m/>
    <m/>
    <m/>
    <n v="1"/>
    <m/>
    <m/>
    <m/>
    <m/>
    <s v="Doubravka"/>
  </r>
  <r>
    <m/>
    <d v="2019-02-15T00:00:00"/>
    <s v="Pichová Alena"/>
    <s v="Baron"/>
    <n v="1"/>
    <m/>
    <m/>
    <m/>
    <m/>
    <n v="1"/>
    <m/>
    <m/>
    <m/>
    <m/>
    <s v="Cibulka"/>
  </r>
  <r>
    <m/>
    <d v="2019-02-15T00:00:00"/>
    <s v="Nagyová Lenka"/>
    <s v="Dafné"/>
    <n v="1"/>
    <m/>
    <m/>
    <m/>
    <m/>
    <n v="1"/>
    <m/>
    <m/>
    <m/>
    <m/>
    <s v="Réna"/>
  </r>
  <r>
    <m/>
    <d v="2019-02-16T00:00:00"/>
    <s v="Libenská Katka"/>
    <s v="Art"/>
    <n v="1"/>
    <m/>
    <m/>
    <n v="1"/>
    <m/>
    <m/>
    <m/>
    <m/>
    <m/>
    <m/>
    <s v="NPR Chejlava"/>
  </r>
  <r>
    <m/>
    <d v="2019-02-16T00:00:00"/>
    <s v="Nedoma Radim"/>
    <s v="Čaky"/>
    <n v="3"/>
    <m/>
    <m/>
    <n v="2"/>
    <m/>
    <n v="1"/>
    <m/>
    <m/>
    <m/>
    <m/>
    <s v="NPR Kněhyně + Radhošť, rozhledna Stezka Valašska"/>
  </r>
  <r>
    <m/>
    <d v="2019-02-16T00:00:00"/>
    <s v="Vrkoč Ivan"/>
    <s v="Lája + Bianca"/>
    <n v="5"/>
    <m/>
    <m/>
    <m/>
    <n v="3"/>
    <n v="2"/>
    <m/>
    <m/>
    <m/>
    <m/>
    <s v="Javorník, Královský kámen ,Kamenná h., Javorník, Mařský vrch"/>
  </r>
  <r>
    <m/>
    <d v="2019-02-16T00:00:00"/>
    <s v="Weiterovi"/>
    <s v="Bara"/>
    <n v="2"/>
    <m/>
    <m/>
    <n v="1"/>
    <m/>
    <n v="1"/>
    <m/>
    <m/>
    <m/>
    <m/>
    <s v="NPR Velký a Malý Tisý, rozhledna Lomnice n.L."/>
  </r>
  <r>
    <m/>
    <d v="2019-02-16T00:00:00"/>
    <s v="Pečinková Ivana"/>
    <s v="Tara"/>
    <n v="2"/>
    <m/>
    <m/>
    <m/>
    <n v="1"/>
    <n v="1"/>
    <m/>
    <m/>
    <m/>
    <m/>
    <s v="Tanečnice, stezka Valašska"/>
  </r>
  <r>
    <m/>
    <d v="2019-02-16T00:00:00"/>
    <s v="Šindelář Pavel"/>
    <s v="Dea"/>
    <n v="1"/>
    <m/>
    <m/>
    <m/>
    <m/>
    <n v="1"/>
    <m/>
    <m/>
    <m/>
    <m/>
    <s v="Křížový vrch"/>
  </r>
  <r>
    <m/>
    <d v="2019-02-16T00:00:00"/>
    <s v="Nedoma Radim"/>
    <s v="Čaky"/>
    <n v="7"/>
    <m/>
    <m/>
    <m/>
    <n v="7"/>
    <m/>
    <m/>
    <m/>
    <m/>
    <m/>
    <s v="Radhošť,Radegast+Z vrch.,Tanečnice+Z vrch.,Nořičí h.,Zmrzlý v."/>
  </r>
  <r>
    <m/>
    <d v="2019-02-17T00:00:00"/>
    <s v="Kučerová Iveta"/>
    <s v="Gimi"/>
    <n v="1"/>
    <m/>
    <m/>
    <m/>
    <m/>
    <n v="1"/>
    <m/>
    <m/>
    <m/>
    <m/>
    <s v="Čeřovka"/>
  </r>
  <r>
    <m/>
    <d v="2019-02-17T00:00:00"/>
    <s v="Kalinová Jana"/>
    <s v="Bigi"/>
    <n v="2"/>
    <m/>
    <m/>
    <m/>
    <m/>
    <n v="2"/>
    <m/>
    <m/>
    <m/>
    <m/>
    <s v="Šelmberk, Kovářka"/>
  </r>
  <r>
    <m/>
    <d v="2019-02-17T00:00:00"/>
    <s v="Míka Marek"/>
    <s v="Holly"/>
    <n v="2"/>
    <m/>
    <m/>
    <m/>
    <m/>
    <n v="2"/>
    <m/>
    <m/>
    <m/>
    <m/>
    <s v="Šelmberk, Kovářka"/>
  </r>
  <r>
    <m/>
    <d v="2019-02-17T00:00:00"/>
    <s v="Kouřil Milan"/>
    <s v="Bessie + Mína"/>
    <n v="2"/>
    <m/>
    <n v="1"/>
    <m/>
    <m/>
    <n v="1"/>
    <m/>
    <m/>
    <m/>
    <m/>
    <s v="NPP Kukle, Nedánov"/>
  </r>
  <r>
    <m/>
    <d v="2019-02-17T00:00:00"/>
    <s v="Štraitová Milada"/>
    <s v="Beky"/>
    <n v="3"/>
    <m/>
    <n v="1"/>
    <m/>
    <m/>
    <n v="2"/>
    <m/>
    <m/>
    <m/>
    <m/>
    <s v="NPP Kukle,  rozhledny Nedánov a Hustopeče"/>
  </r>
  <r>
    <m/>
    <d v="2019-02-17T00:00:00"/>
    <s v="Nedoma Radim"/>
    <s v="Čaky"/>
    <n v="1"/>
    <m/>
    <m/>
    <m/>
    <m/>
    <n v="1"/>
    <m/>
    <m/>
    <m/>
    <m/>
    <s v="Nová Ves"/>
  </r>
  <r>
    <m/>
    <d v="2019-02-18T00:00:00"/>
    <s v="Vojtková Zuzana"/>
    <s v="Lara"/>
    <n v="1"/>
    <m/>
    <m/>
    <m/>
    <m/>
    <n v="1"/>
    <m/>
    <m/>
    <m/>
    <m/>
    <s v="Kabátice"/>
  </r>
  <r>
    <m/>
    <d v="2019-02-18T00:00:00"/>
    <s v="Pichová Alena"/>
    <s v="Baron"/>
    <n v="3"/>
    <m/>
    <n v="3"/>
    <m/>
    <m/>
    <m/>
    <m/>
    <m/>
    <m/>
    <m/>
    <s v="Požáry, Dalejský profil, U Nového mlýna"/>
  </r>
  <r>
    <m/>
    <d v="2019-02-19T00:00:00"/>
    <s v="Vojtková Zuzana"/>
    <s v="Lara"/>
    <n v="3"/>
    <m/>
    <m/>
    <m/>
    <n v="3"/>
    <m/>
    <m/>
    <m/>
    <m/>
    <m/>
    <s v="Javorový, Šindelná, Ropice"/>
  </r>
  <r>
    <m/>
    <d v="2019-02-20T00:00:00"/>
    <s v="Kouřil Milan"/>
    <s v="Bessie + Mína"/>
    <n v="1"/>
    <m/>
    <m/>
    <m/>
    <m/>
    <m/>
    <n v="1"/>
    <m/>
    <m/>
    <m/>
    <s v="soutok Jihlavy a Svratky"/>
  </r>
  <r>
    <m/>
    <d v="2019-02-20T00:00:00"/>
    <s v="Šindelář Pavel"/>
    <s v="Dea"/>
    <n v="1"/>
    <m/>
    <m/>
    <m/>
    <m/>
    <n v="1"/>
    <m/>
    <m/>
    <m/>
    <m/>
    <s v="Nový rybník"/>
  </r>
  <r>
    <m/>
    <d v="2019-02-20T00:00:00"/>
    <s v="Minolová Jana"/>
    <s v="Chilli"/>
    <n v="5"/>
    <m/>
    <m/>
    <m/>
    <m/>
    <n v="5"/>
    <m/>
    <m/>
    <m/>
    <m/>
    <s v="Milada, Langova (Onen svět), Kuníček, Veselý vrch, Drtinova rozhl."/>
  </r>
  <r>
    <m/>
    <d v="2019-02-20T00:00:00"/>
    <s v="Pechanová Hana"/>
    <s v="Denis"/>
    <n v="1"/>
    <m/>
    <n v="1"/>
    <m/>
    <m/>
    <m/>
    <m/>
    <m/>
    <m/>
    <m/>
    <s v="NPP Peklo"/>
  </r>
  <r>
    <m/>
    <d v="2019-02-21T00:00:00"/>
    <s v="Minolová Jana"/>
    <s v="Chilli"/>
    <n v="4"/>
    <m/>
    <m/>
    <n v="1"/>
    <m/>
    <n v="3"/>
    <m/>
    <m/>
    <m/>
    <m/>
    <s v="NPR Drbákov-Albertovy skály, Mandava,Neštětická h., Ládví-Vlková"/>
  </r>
  <r>
    <m/>
    <d v="2019-02-23T00:00:00"/>
    <s v="Urabetzová Renata"/>
    <s v="Abigail"/>
    <n v="2"/>
    <m/>
    <n v="1"/>
    <n v="1"/>
    <m/>
    <m/>
    <m/>
    <m/>
    <m/>
    <m/>
    <s v="NPP Kalendář věků, NPR Děvín-Kotel-Soutěska"/>
  </r>
  <r>
    <m/>
    <d v="2019-02-23T00:00:00"/>
    <s v="Štraitová Milada"/>
    <s v="Beky"/>
    <n v="2"/>
    <m/>
    <n v="1"/>
    <n v="1"/>
    <m/>
    <m/>
    <m/>
    <m/>
    <m/>
    <m/>
    <s v="NPP Kalendář věků, NPR Děvín-Kotel-Soutěska"/>
  </r>
  <r>
    <m/>
    <d v="2019-02-23T00:00:00"/>
    <s v="Kremlová Daniela"/>
    <s v="Ble+Ced+Abe"/>
    <n v="1"/>
    <m/>
    <m/>
    <m/>
    <m/>
    <n v="1"/>
    <m/>
    <m/>
    <m/>
    <m/>
    <s v="Orlík"/>
  </r>
  <r>
    <m/>
    <d v="2019-02-23T00:00:00"/>
    <s v="Pichová Alena"/>
    <s v="Baron"/>
    <n v="3"/>
    <m/>
    <n v="1"/>
    <m/>
    <m/>
    <n v="1"/>
    <n v="1"/>
    <m/>
    <m/>
    <m/>
    <s v="NPP Barrandovské skály, Lahovický most, Berounka+Vltava"/>
  </r>
  <r>
    <m/>
    <d v="2019-02-23T00:00:00"/>
    <s v="Vojtková Zuzana"/>
    <s v="Lara"/>
    <n v="5"/>
    <m/>
    <m/>
    <n v="1"/>
    <n v="4"/>
    <m/>
    <m/>
    <m/>
    <m/>
    <m/>
    <s v="NPR Kněhyně-Čertův mlýn, M.+V. Stolová, Kněhyně, Čertův mlýn"/>
  </r>
  <r>
    <m/>
    <d v="2019-02-23T00:00:00"/>
    <s v="Vojtková Zuzana"/>
    <s v="Lara"/>
    <n v="4"/>
    <m/>
    <m/>
    <m/>
    <n v="3"/>
    <n v="1"/>
    <m/>
    <m/>
    <m/>
    <m/>
    <s v="Tanečnice, Zmrzlý vrch, Nořičí hora, stezka Valašska"/>
  </r>
  <r>
    <m/>
    <d v="2019-02-23T00:00:00"/>
    <s v="Míka Marek"/>
    <s v="Holly"/>
    <n v="1"/>
    <m/>
    <m/>
    <n v="1"/>
    <m/>
    <m/>
    <m/>
    <m/>
    <m/>
    <m/>
    <s v="NPR Karlštejn"/>
  </r>
  <r>
    <m/>
    <d v="2019-02-23T00:00:00"/>
    <s v="Nedoma Radim"/>
    <s v="Čaky"/>
    <n v="1"/>
    <m/>
    <m/>
    <m/>
    <m/>
    <n v="1"/>
    <m/>
    <m/>
    <m/>
    <m/>
    <s v="Prašivá"/>
  </r>
  <r>
    <m/>
    <d v="2019-02-23T00:00:00"/>
    <s v="Krhovják Tomáš"/>
    <s v="Iber"/>
    <n v="1"/>
    <m/>
    <m/>
    <m/>
    <m/>
    <n v="1"/>
    <m/>
    <m/>
    <m/>
    <m/>
    <s v="Jurkovičova rozhledna"/>
  </r>
  <r>
    <m/>
    <d v="2019-02-23T00:00:00"/>
    <s v="Kouřil Milan"/>
    <s v="Bessie + Mína"/>
    <n v="2"/>
    <m/>
    <n v="1"/>
    <n v="1"/>
    <m/>
    <m/>
    <m/>
    <m/>
    <m/>
    <m/>
    <s v="NPP Kalendář věků, NPR Děvín-Kotel-Soutěska"/>
  </r>
  <r>
    <m/>
    <d v="2019-02-23T00:00:00"/>
    <s v="Hanč Jaroslav"/>
    <s v="Ali"/>
    <n v="1"/>
    <m/>
    <n v="1"/>
    <m/>
    <m/>
    <m/>
    <m/>
    <m/>
    <m/>
    <m/>
    <s v="NPP Karlštejn"/>
  </r>
  <r>
    <m/>
    <d v="2019-02-24T00:00:00"/>
    <s v="Šindelář Pavel"/>
    <s v="Dea"/>
    <n v="1"/>
    <m/>
    <m/>
    <m/>
    <m/>
    <n v="1"/>
    <m/>
    <m/>
    <m/>
    <m/>
    <s v="Radyně"/>
  </r>
  <r>
    <m/>
    <d v="2019-02-24T00:00:00"/>
    <s v="Pastuchová Martina"/>
    <s v="Bára"/>
    <n v="1"/>
    <m/>
    <m/>
    <m/>
    <m/>
    <m/>
    <n v="1"/>
    <m/>
    <m/>
    <m/>
    <s v="soutok Odry a Olše"/>
  </r>
  <r>
    <m/>
    <d v="2019-02-24T00:00:00"/>
    <s v="Libenská Katka"/>
    <s v="Art"/>
    <n v="2"/>
    <m/>
    <m/>
    <m/>
    <m/>
    <m/>
    <n v="1"/>
    <n v="1"/>
    <m/>
    <m/>
    <s v="soutok Mže a Radbuzy, pramen Berounky"/>
  </r>
  <r>
    <m/>
    <d v="2019-02-24T00:00:00"/>
    <s v="Nedoma Radim"/>
    <s v="Čaky"/>
    <n v="5"/>
    <m/>
    <m/>
    <m/>
    <m/>
    <n v="2"/>
    <n v="3"/>
    <m/>
    <m/>
    <m/>
    <s v="Landek ,Hošťálkovice,Odra+Lubina+Ostravice+Ondřejnice"/>
  </r>
  <r>
    <m/>
    <d v="2019-02-24T00:00:00"/>
    <s v="Nedoma Radim"/>
    <s v="Čaky"/>
    <n v="2"/>
    <m/>
    <n v="1"/>
    <n v="1"/>
    <m/>
    <m/>
    <m/>
    <m/>
    <m/>
    <m/>
    <s v="NPP Landek, NPR Polanská niva"/>
  </r>
  <r>
    <m/>
    <d v="2019-02-24T00:00:00"/>
    <s v="Vrkoč Ivan"/>
    <s v="Lája + Bianca"/>
    <n v="6"/>
    <m/>
    <n v="1"/>
    <m/>
    <m/>
    <n v="4"/>
    <n v="1"/>
    <m/>
    <m/>
    <m/>
    <s v="NPP Rovná, Čestice, Hoslovice, Kbíl, Strakonice, Otava+Volyňka"/>
  </r>
  <r>
    <m/>
    <d v="2019-02-25T00:00:00"/>
    <s v="Pletichová Wild.Lea"/>
    <s v="Cíňa + Lestie"/>
    <n v="1"/>
    <m/>
    <m/>
    <m/>
    <m/>
    <n v="1"/>
    <m/>
    <m/>
    <m/>
    <m/>
    <s v="Císařský kámen"/>
  </r>
  <r>
    <m/>
    <d v="2019-02-26T00:00:00"/>
    <s v="Nedoma Radim"/>
    <s v="Čaky"/>
    <n v="2"/>
    <m/>
    <n v="1"/>
    <m/>
    <m/>
    <m/>
    <n v="1"/>
    <m/>
    <m/>
    <m/>
    <s v="NPP Skalická Morávka, soutok Ostravice a Morávky"/>
  </r>
  <r>
    <m/>
    <d v="2019-02-26T00:00:00"/>
    <s v="Kouřil Milan"/>
    <s v="Bessie + Mína"/>
    <n v="3"/>
    <m/>
    <m/>
    <n v="2"/>
    <m/>
    <m/>
    <n v="1"/>
    <m/>
    <m/>
    <m/>
    <s v="NPR Zástudánčí, Žebračka, soutok Moravy a Blaty"/>
  </r>
  <r>
    <m/>
    <d v="2019-02-27T00:00:00"/>
    <s v="Vojtková Zuzana"/>
    <s v="Lara"/>
    <n v="4"/>
    <m/>
    <n v="1"/>
    <m/>
    <m/>
    <n v="3"/>
    <m/>
    <m/>
    <m/>
    <m/>
    <s v="NPP Šipka, Štramberská trúba, Bílá hora, Bezručova vyhlídka"/>
  </r>
  <r>
    <m/>
    <d v="2019-02-27T00:00:00"/>
    <s v="Urabetzová Renata"/>
    <s v="Abigail"/>
    <n v="1"/>
    <n v="1"/>
    <m/>
    <m/>
    <m/>
    <m/>
    <m/>
    <m/>
    <m/>
    <m/>
    <s v="NP Podyjí"/>
  </r>
  <r>
    <m/>
    <d v="2019-02-28T00:00:00"/>
    <s v="Vrkoč Ivan"/>
    <s v="Lája + Bianca"/>
    <n v="4"/>
    <m/>
    <m/>
    <m/>
    <m/>
    <n v="1"/>
    <n v="3"/>
    <m/>
    <m/>
    <m/>
    <s v="Velký Kamýk,Vltava + Otava, Otava + Lomnice, Lomnice + Skalice"/>
  </r>
  <r>
    <m/>
    <d v="2019-02-28T00:00:00"/>
    <s v="Vojtková Zuzana"/>
    <s v="Lara"/>
    <n v="1"/>
    <m/>
    <m/>
    <m/>
    <m/>
    <n v="1"/>
    <m/>
    <m/>
    <m/>
    <m/>
    <s v="Okrouhlá"/>
  </r>
  <r>
    <m/>
    <d v="2019-03-01T00:00:00"/>
    <s v="Kouřil Milan"/>
    <s v="Bessie + Mína"/>
    <n v="3"/>
    <m/>
    <n v="1"/>
    <m/>
    <m/>
    <n v="2"/>
    <m/>
    <m/>
    <m/>
    <m/>
    <s v="NPP Kaňk, Havířská bouda, Bedřichova vyhlídka"/>
  </r>
  <r>
    <m/>
    <d v="2019-03-02T00:00:00"/>
    <s v="Straka Richard"/>
    <s v="Hugo"/>
    <n v="1"/>
    <m/>
    <m/>
    <m/>
    <m/>
    <m/>
    <m/>
    <n v="1"/>
    <m/>
    <m/>
    <s v="pramen Želivky"/>
  </r>
  <r>
    <m/>
    <d v="2019-03-02T00:00:00"/>
    <s v="Kučerová Iveta"/>
    <s v="Gimi"/>
    <n v="1"/>
    <m/>
    <m/>
    <m/>
    <m/>
    <m/>
    <n v="1"/>
    <m/>
    <m/>
    <m/>
    <s v="soutok Jizery a Olešky"/>
  </r>
  <r>
    <m/>
    <d v="2019-03-02T00:00:00"/>
    <s v="Kouřil Milan"/>
    <s v="Bessie + Mína"/>
    <n v="2"/>
    <m/>
    <n v="1"/>
    <m/>
    <m/>
    <n v="1"/>
    <m/>
    <m/>
    <m/>
    <m/>
    <s v="NPP Rybníček u Hořan, Vysoká"/>
  </r>
  <r>
    <m/>
    <d v="2019-03-02T00:00:00"/>
    <s v="Nedoma Radim"/>
    <s v="Čaky"/>
    <n v="4"/>
    <m/>
    <n v="1"/>
    <n v="1"/>
    <m/>
    <n v="1"/>
    <n v="1"/>
    <m/>
    <m/>
    <m/>
    <s v="NPP Zbrašov. jeskyně,NPR Hůrka,St.Jičín, Vsetín.+Rožnov. Bečva"/>
  </r>
  <r>
    <m/>
    <d v="2019-03-02T00:00:00"/>
    <s v="Vrkoč Ivan"/>
    <s v="Lája + Bianca"/>
    <n v="3"/>
    <m/>
    <m/>
    <m/>
    <m/>
    <n v="2"/>
    <m/>
    <m/>
    <m/>
    <n v="1"/>
    <s v="Kovářka, Blaník rozhledna + hora"/>
  </r>
  <r>
    <m/>
    <d v="2019-03-02T00:00:00"/>
    <s v="Minolová Jana"/>
    <s v="Chilli"/>
    <n v="1"/>
    <m/>
    <m/>
    <m/>
    <m/>
    <n v="1"/>
    <m/>
    <m/>
    <m/>
    <m/>
    <s v="Krkavec"/>
  </r>
  <r>
    <m/>
    <d v="2019-03-03T00:00:00"/>
    <s v="Pastuchová Martina"/>
    <s v="Bára"/>
    <n v="3"/>
    <m/>
    <n v="1"/>
    <m/>
    <m/>
    <n v="1"/>
    <n v="1"/>
    <m/>
    <m/>
    <m/>
    <s v="NPP Landek,rozhl.  Landek,  soutok Ostravice a  Odra"/>
  </r>
  <r>
    <m/>
    <d v="2019-03-03T00:00:00"/>
    <s v="Straka Richard"/>
    <s v="Hugo"/>
    <n v="1"/>
    <m/>
    <m/>
    <m/>
    <m/>
    <n v="1"/>
    <m/>
    <m/>
    <m/>
    <m/>
    <s v="Křemešní - Pípalka"/>
  </r>
  <r>
    <m/>
    <d v="2019-03-03T00:00:00"/>
    <s v="Minolová Jana"/>
    <s v="Chilli"/>
    <n v="1"/>
    <m/>
    <m/>
    <m/>
    <m/>
    <m/>
    <m/>
    <m/>
    <n v="1"/>
    <m/>
    <s v="Říp"/>
  </r>
  <r>
    <m/>
    <d v="2019-03-03T00:00:00"/>
    <s v="Kouřil Milan"/>
    <s v="Bessie + Mína"/>
    <n v="4"/>
    <m/>
    <m/>
    <n v="1"/>
    <m/>
    <n v="2"/>
    <n v="1"/>
    <m/>
    <m/>
    <m/>
    <s v="NPR Libický luh, Vodárna, Maják, Labe+Cidlina"/>
  </r>
  <r>
    <m/>
    <d v="2019-03-03T00:00:00"/>
    <s v="Kalinová Jana"/>
    <s v="Bigi"/>
    <n v="1"/>
    <m/>
    <m/>
    <m/>
    <m/>
    <n v="1"/>
    <m/>
    <m/>
    <m/>
    <m/>
    <s v="Neštětická hora"/>
  </r>
  <r>
    <m/>
    <d v="2019-03-03T00:00:00"/>
    <s v="Pečinková Ivana"/>
    <s v="Tara"/>
    <n v="1"/>
    <m/>
    <m/>
    <m/>
    <m/>
    <n v="1"/>
    <m/>
    <m/>
    <m/>
    <m/>
    <s v="Jurkovičova rozhledna"/>
  </r>
  <r>
    <m/>
    <d v="2019-03-03T00:00:00"/>
    <s v="Pichová Alena"/>
    <s v="Baron"/>
    <n v="3"/>
    <m/>
    <n v="3"/>
    <m/>
    <m/>
    <m/>
    <m/>
    <m/>
    <m/>
    <m/>
    <s v=" NPP Lochkovický profil, Cikánka I, Černé rokle"/>
  </r>
  <r>
    <m/>
    <d v="2019-03-03T00:00:00"/>
    <s v="Straka Richard"/>
    <s v="Hugo"/>
    <n v="1"/>
    <m/>
    <m/>
    <m/>
    <m/>
    <n v="1"/>
    <m/>
    <m/>
    <m/>
    <m/>
    <s v="Orlík "/>
  </r>
  <r>
    <m/>
    <d v="2019-03-03T00:00:00"/>
    <s v="Weiterovi"/>
    <s v="Bara"/>
    <n v="5"/>
    <m/>
    <m/>
    <m/>
    <m/>
    <n v="5"/>
    <m/>
    <m/>
    <m/>
    <m/>
    <s v="Bramberk, Královka, Nisanka, Slovanka,Černá studnice"/>
  </r>
  <r>
    <m/>
    <d v="2019-03-03T00:00:00"/>
    <s v="Weiterovi"/>
    <s v="Bara"/>
    <n v="5"/>
    <m/>
    <m/>
    <n v="1"/>
    <n v="1"/>
    <n v="2"/>
    <m/>
    <n v="1"/>
    <m/>
    <m/>
    <s v="Liberec.výšina, Lidové sady, Rašliniště Jizerky, Nisa,Bukovec"/>
  </r>
  <r>
    <m/>
    <d v="2019-03-03T00:00:00"/>
    <s v="Šindelář Pavel"/>
    <s v="Dea"/>
    <n v="5"/>
    <m/>
    <m/>
    <n v="1"/>
    <n v="2"/>
    <n v="2"/>
    <m/>
    <m/>
    <m/>
    <m/>
    <s v="Čerchovské hvozdy,Čerchov,Skalka,rozh.Čerchov,Šibeniční vrch"/>
  </r>
  <r>
    <m/>
    <d v="2019-03-03T00:00:00"/>
    <s v="Lachmanová Fany"/>
    <s v="Rory"/>
    <n v="1"/>
    <m/>
    <m/>
    <m/>
    <m/>
    <n v="1"/>
    <m/>
    <m/>
    <m/>
    <m/>
    <s v="Krkavec"/>
  </r>
  <r>
    <m/>
    <d v="2019-03-04T00:00:00"/>
    <s v="Pichová Alena"/>
    <s v="Baron"/>
    <n v="1"/>
    <m/>
    <m/>
    <m/>
    <m/>
    <m/>
    <n v="1"/>
    <m/>
    <m/>
    <m/>
    <s v="soutok Vltavy a Rokytky"/>
  </r>
  <r>
    <m/>
    <d v="2019-03-04T00:00:00"/>
    <s v="Krhovják Tomáš"/>
    <s v="Iber"/>
    <n v="1"/>
    <m/>
    <m/>
    <m/>
    <m/>
    <m/>
    <n v="1"/>
    <m/>
    <m/>
    <m/>
    <s v="soutok Vsetínské a Rožnovské Bečvy"/>
  </r>
  <r>
    <m/>
    <d v="2019-03-05T00:00:00"/>
    <s v="Pletichová Wild.Lea"/>
    <s v="Cíňa + Lestie"/>
    <n v="1"/>
    <m/>
    <m/>
    <m/>
    <m/>
    <m/>
    <m/>
    <n v="1"/>
    <m/>
    <m/>
    <s v="pramen Nisy"/>
  </r>
  <r>
    <m/>
    <d v="2019-03-05T00:00:00"/>
    <s v="Krhovják Tomáš"/>
    <s v="Iber"/>
    <n v="1"/>
    <m/>
    <m/>
    <m/>
    <m/>
    <n v="1"/>
    <m/>
    <m/>
    <m/>
    <m/>
    <s v="Maruška"/>
  </r>
  <r>
    <m/>
    <d v="2019-03-06T00:00:00"/>
    <s v="Vrkoč Ivan"/>
    <s v="Lája + Bianca"/>
    <n v="5"/>
    <m/>
    <m/>
    <m/>
    <m/>
    <m/>
    <n v="3"/>
    <n v="2"/>
    <m/>
    <m/>
    <s v="Lužnice+Černovický p.+Kozský p.+Dírensky p.Blanice,Trnava"/>
  </r>
  <r>
    <m/>
    <d v="2019-03-07T00:00:00"/>
    <s v="Straka Richard"/>
    <s v="Hugo"/>
    <n v="1"/>
    <m/>
    <n v="1"/>
    <m/>
    <m/>
    <m/>
    <m/>
    <m/>
    <m/>
    <m/>
    <s v="NPP Jankovský potok. "/>
  </r>
  <r>
    <m/>
    <d v="2019-03-07T00:00:00"/>
    <s v="Pichová Alena"/>
    <s v="Baron"/>
    <n v="2"/>
    <m/>
    <m/>
    <m/>
    <m/>
    <n v="2"/>
    <m/>
    <m/>
    <m/>
    <m/>
    <s v="Žižkovský vysílač, Mlíkárna v Riegrových sadech"/>
  </r>
  <r>
    <m/>
    <d v="2019-03-09T00:00:00"/>
    <s v="Kouřil Milan"/>
    <s v="Bessie + Mína"/>
    <n v="4"/>
    <m/>
    <n v="2"/>
    <n v="1"/>
    <m/>
    <n v="1"/>
    <m/>
    <m/>
    <m/>
    <m/>
    <s v="NPP Žehuňský rybník,Dlouhopolsko, NPR Kněžičky,Polní Chrčice"/>
  </r>
  <r>
    <m/>
    <d v="2019-03-09T00:00:00"/>
    <s v="Chrenková Iveta"/>
    <s v="Deli"/>
    <n v="4"/>
    <m/>
    <n v="2"/>
    <n v="1"/>
    <m/>
    <n v="1"/>
    <m/>
    <m/>
    <m/>
    <m/>
    <s v="NPP Žehuňský rybník,Dlouhopolsko, NPR Kněžičky,Polní Chrčice"/>
  </r>
  <r>
    <m/>
    <d v="2019-03-09T00:00:00"/>
    <s v="Nedoma Radim"/>
    <s v="Čaky"/>
    <n v="1"/>
    <m/>
    <m/>
    <m/>
    <m/>
    <n v="1"/>
    <m/>
    <m/>
    <m/>
    <m/>
    <s v="Hrad dona Quijota"/>
  </r>
  <r>
    <m/>
    <d v="2019-03-09T00:00:00"/>
    <s v="Míka Marek"/>
    <s v="Holly"/>
    <n v="2"/>
    <m/>
    <m/>
    <m/>
    <m/>
    <n v="1"/>
    <n v="1"/>
    <m/>
    <m/>
    <m/>
    <s v="Pepř, soutok Vltavy a Sázavy"/>
  </r>
  <r>
    <m/>
    <d v="2019-03-09T00:00:00"/>
    <s v="Libenská Katka"/>
    <s v="Art"/>
    <n v="3"/>
    <m/>
    <m/>
    <m/>
    <m/>
    <n v="2"/>
    <m/>
    <n v="1"/>
    <m/>
    <m/>
    <s v="Kamzík, Hamelika, pramen Teplé"/>
  </r>
  <r>
    <m/>
    <d v="2019-03-09T00:00:00"/>
    <s v="Kalinová Jana"/>
    <s v="Bigi"/>
    <n v="3"/>
    <m/>
    <m/>
    <m/>
    <m/>
    <n v="1"/>
    <n v="2"/>
    <m/>
    <m/>
    <m/>
    <s v="Maják, soutok Labe a Doubravy, Labe a Klejnárky"/>
  </r>
  <r>
    <m/>
    <d v="2019-03-09T00:00:00"/>
    <s v="Šindelář Pavel"/>
    <s v="Dea"/>
    <n v="3"/>
    <m/>
    <m/>
    <m/>
    <m/>
    <n v="1"/>
    <n v="2"/>
    <m/>
    <m/>
    <m/>
    <s v="Chlum, soutok Berounky a Úslavy, Mže a Radbuzy"/>
  </r>
  <r>
    <m/>
    <d v="2019-03-09T00:00:00"/>
    <s v="Minolová Jana"/>
    <s v="Chilli"/>
    <n v="3"/>
    <m/>
    <m/>
    <m/>
    <m/>
    <n v="2"/>
    <n v="1"/>
    <m/>
    <m/>
    <m/>
    <s v="Heřmanova huť, Nový rybník, soutomk Úhlávky a Mže"/>
  </r>
  <r>
    <m/>
    <d v="2019-03-09T00:00:00"/>
    <s v="Vrkoč Ivan"/>
    <s v="Lája + Bianca"/>
    <n v="2"/>
    <m/>
    <m/>
    <m/>
    <m/>
    <n v="1"/>
    <n v="1"/>
    <m/>
    <m/>
    <m/>
    <s v="Slabošovka, soutok Malše a Černé"/>
  </r>
  <r>
    <m/>
    <d v="2019-03-09T00:00:00"/>
    <s v="Ublová Marie"/>
    <s v="Hugo"/>
    <n v="5"/>
    <m/>
    <n v="2"/>
    <m/>
    <m/>
    <n v="2"/>
    <m/>
    <m/>
    <n v="1"/>
    <m/>
    <s v="NPP Kaňk, U nových mlýnů, Havířská bouda, Kratochvílova rozhl., Říp"/>
  </r>
  <r>
    <m/>
    <d v="2019-03-09T00:00:00"/>
    <s v="Pečinková Ivana"/>
    <s v="Tara"/>
    <n v="1"/>
    <m/>
    <m/>
    <m/>
    <m/>
    <m/>
    <n v="1"/>
    <m/>
    <m/>
    <m/>
    <s v="soutok Ostravice a Morávky"/>
  </r>
  <r>
    <m/>
    <d v="2019-03-10T00:00:00"/>
    <s v="Kouřil Milan"/>
    <s v="Bessie + Mína"/>
    <n v="2"/>
    <m/>
    <m/>
    <m/>
    <m/>
    <n v="2"/>
    <m/>
    <m/>
    <m/>
    <m/>
    <s v=" Český Šternberk, Špulka"/>
  </r>
  <r>
    <m/>
    <d v="2019-03-12T00:00:00"/>
    <s v="Urabetzová Renata"/>
    <s v="Abigail"/>
    <n v="2"/>
    <m/>
    <m/>
    <n v="1"/>
    <m/>
    <n v="1"/>
    <m/>
    <m/>
    <m/>
    <m/>
    <s v="NPR Lednické rybníky, Minaret"/>
  </r>
  <r>
    <m/>
    <d v="2019-03-15T00:00:00"/>
    <s v="Pichová Alena"/>
    <s v="Baron"/>
    <n v="3"/>
    <m/>
    <n v="1"/>
    <m/>
    <m/>
    <n v="2"/>
    <m/>
    <m/>
    <m/>
    <m/>
    <s v="NPP Letiště Letňany, Novomlýnská vodárenská věž, Astronomická věž Klementinum "/>
  </r>
  <r>
    <m/>
    <d v="2019-03-15T00:00:00"/>
    <s v="Kouřil Milan"/>
    <s v="Bessie + Mína"/>
    <n v="3"/>
    <m/>
    <n v="1"/>
    <m/>
    <m/>
    <n v="1"/>
    <n v="1"/>
    <m/>
    <m/>
    <m/>
    <s v="NPP Velký Roudný, Velký Roudný, soutok Moravy a Bystřice"/>
  </r>
  <r>
    <m/>
    <d v="2019-03-16T00:00:00"/>
    <s v="Straka Richard"/>
    <s v="Hugo"/>
    <n v="1"/>
    <m/>
    <m/>
    <n v="1"/>
    <m/>
    <m/>
    <m/>
    <m/>
    <m/>
    <m/>
    <s v="NPR Velký Špičák"/>
  </r>
  <r>
    <m/>
    <d v="2019-03-16T00:00:00"/>
    <s v="Rozdolská Dana "/>
    <s v="Cejlí"/>
    <n v="1"/>
    <m/>
    <m/>
    <n v="1"/>
    <m/>
    <m/>
    <m/>
    <m/>
    <m/>
    <m/>
    <s v="NPR Broumovské stěny"/>
  </r>
  <r>
    <m/>
    <d v="2019-03-16T00:00:00"/>
    <s v="Vrkoč Ivan"/>
    <s v="Lája + Bianca"/>
    <n v="1"/>
    <m/>
    <m/>
    <m/>
    <m/>
    <m/>
    <n v="1"/>
    <m/>
    <m/>
    <m/>
    <s v="soutok Vltavy a Bezdrevského p."/>
  </r>
  <r>
    <m/>
    <d v="2019-03-16T00:00:00"/>
    <s v="Laisková Monika"/>
    <s v="Bety + Mia"/>
    <n v="2"/>
    <m/>
    <m/>
    <m/>
    <m/>
    <n v="1"/>
    <m/>
    <m/>
    <m/>
    <n v="1"/>
    <s v="Blaník + rozhledna"/>
  </r>
  <r>
    <m/>
    <d v="2019-03-16T00:00:00"/>
    <s v="Libenská Katka"/>
    <s v="Art"/>
    <n v="2"/>
    <m/>
    <m/>
    <m/>
    <m/>
    <n v="1"/>
    <n v="1"/>
    <m/>
    <m/>
    <m/>
    <s v="Na Vrších, soutok Berounky a Klabavy"/>
  </r>
  <r>
    <m/>
    <d v="2019-03-16T00:00:00"/>
    <s v="Kroupová Aneta"/>
    <s v="Argo"/>
    <n v="1"/>
    <m/>
    <m/>
    <m/>
    <m/>
    <m/>
    <n v="1"/>
    <m/>
    <m/>
    <m/>
    <s v="soutok Vltavy a Bezdrevského p."/>
  </r>
  <r>
    <m/>
    <d v="2019-03-17T00:00:00"/>
    <s v="Kouřil Milan"/>
    <s v="Bessie + Mína"/>
    <n v="1"/>
    <m/>
    <m/>
    <n v="1"/>
    <m/>
    <m/>
    <m/>
    <m/>
    <m/>
    <m/>
    <s v="NPR Hádecká planinka"/>
  </r>
  <r>
    <m/>
    <d v="2019-03-17T00:00:00"/>
    <s v="Straka Richard"/>
    <s v="Hugo"/>
    <n v="2"/>
    <m/>
    <m/>
    <m/>
    <m/>
    <n v="1"/>
    <m/>
    <m/>
    <m/>
    <n v="1"/>
    <s v="Blaník + rozhledna"/>
  </r>
  <r>
    <m/>
    <d v="2019-03-17T00:00:00"/>
    <s v="Netrvalová Pavla"/>
    <s v="Matouš"/>
    <n v="3"/>
    <m/>
    <m/>
    <m/>
    <m/>
    <n v="1"/>
    <n v="2"/>
    <m/>
    <m/>
    <m/>
    <s v="Sylván, soutok Radbuza a  Mže, Úhlava a Radbuza"/>
  </r>
  <r>
    <m/>
    <d v="2019-03-17T00:00:00"/>
    <s v="Pichová Alena"/>
    <s v="Baron"/>
    <n v="1"/>
    <m/>
    <m/>
    <n v="1"/>
    <m/>
    <m/>
    <m/>
    <m/>
    <m/>
    <m/>
    <s v="NPR Větrušické rokle"/>
  </r>
  <r>
    <m/>
    <d v="2019-03-17T00:00:00"/>
    <s v="Vrkoč Ivan"/>
    <s v="Lája + Bianca"/>
    <n v="6"/>
    <m/>
    <n v="1"/>
    <n v="1"/>
    <m/>
    <m/>
    <n v="2"/>
    <n v="2"/>
    <m/>
    <m/>
    <s v="NPP Vizír,NPR Stará a Nová řeka,soutok:.Lužnice+Koštěnický p.,Dračice, pramen Nová řeka,Zlatá stoka"/>
  </r>
  <r>
    <m/>
    <d v="2019-03-17T00:00:00"/>
    <s v="Nedoma Radim"/>
    <s v="Čaky"/>
    <n v="5"/>
    <m/>
    <m/>
    <m/>
    <n v="5"/>
    <m/>
    <m/>
    <m/>
    <m/>
    <m/>
    <s v="Malá Stolová, Velká Stolová, Folvark, Kněhyně, Čertův mlýn, Magurka"/>
  </r>
  <r>
    <m/>
    <d v="2019-03-17T00:00:00"/>
    <s v="Šindelář Pavel"/>
    <s v="Dea"/>
    <n v="2"/>
    <m/>
    <m/>
    <m/>
    <m/>
    <n v="2"/>
    <m/>
    <m/>
    <m/>
    <m/>
    <s v="Krkavec, Sylván"/>
  </r>
  <r>
    <m/>
    <d v="2019-03-17T00:00:00"/>
    <s v="Weiterovi"/>
    <s v="Bara"/>
    <n v="1"/>
    <m/>
    <m/>
    <m/>
    <n v="1"/>
    <m/>
    <m/>
    <m/>
    <m/>
    <m/>
    <s v="Žebříkový kámen"/>
  </r>
  <r>
    <m/>
    <d v="2019-03-17T00:00:00"/>
    <s v="Šmerdovi"/>
    <s v="Ája"/>
    <n v="1"/>
    <m/>
    <m/>
    <m/>
    <m/>
    <n v="1"/>
    <m/>
    <m/>
    <m/>
    <m/>
    <s v="Kamenný vrch"/>
  </r>
  <r>
    <m/>
    <d v="2019-03-19T00:00:00"/>
    <s v="Kouřil Milan"/>
    <s v="Bessie + Mína"/>
    <n v="3"/>
    <m/>
    <m/>
    <m/>
    <m/>
    <n v="2"/>
    <n v="1"/>
    <m/>
    <m/>
    <m/>
    <s v="Ostrava-Nová radnice, Bolt Tower, soutok Lučiny a Ostravice"/>
  </r>
  <r>
    <m/>
    <d v="2019-03-20T00:00:00"/>
    <s v="Novotná Tatiana"/>
    <s v="Sid"/>
    <n v="1"/>
    <m/>
    <m/>
    <m/>
    <m/>
    <m/>
    <n v="1"/>
    <m/>
    <m/>
    <m/>
    <s v="soutok Malše a Vltavy"/>
  </r>
  <r>
    <m/>
    <d v="2019-03-20T00:00:00"/>
    <s v="Šmerdovi"/>
    <s v="Ája"/>
    <n v="1"/>
    <m/>
    <m/>
    <n v="1"/>
    <m/>
    <m/>
    <m/>
    <m/>
    <m/>
    <m/>
    <s v="NPR Hádecká planinka"/>
  </r>
  <r>
    <m/>
    <d v="2019-03-21T00:00:00"/>
    <s v="Nedoma Radim"/>
    <s v="Čaky"/>
    <n v="1"/>
    <m/>
    <m/>
    <m/>
    <n v="1"/>
    <m/>
    <m/>
    <m/>
    <m/>
    <m/>
    <s v="Travný"/>
  </r>
  <r>
    <m/>
    <d v="2019-03-21T00:00:00"/>
    <s v="Kalinová Jana"/>
    <s v="Bigi"/>
    <n v="2"/>
    <m/>
    <m/>
    <n v="1"/>
    <m/>
    <m/>
    <n v="1"/>
    <m/>
    <m/>
    <m/>
    <s v="NPR Libický luh, soutok Labe a Cidliny"/>
  </r>
  <r>
    <m/>
    <d v="2019-03-21T00:00:00"/>
    <s v="Pichová Alena"/>
    <s v="Baron"/>
    <n v="1"/>
    <m/>
    <n v="1"/>
    <m/>
    <m/>
    <m/>
    <m/>
    <m/>
    <m/>
    <m/>
    <s v="NPP Medník"/>
  </r>
  <r>
    <m/>
    <d v="2019-03-22T00:00:00"/>
    <s v="Straka Richard"/>
    <s v="Hugo"/>
    <n v="1"/>
    <m/>
    <m/>
    <m/>
    <m/>
    <m/>
    <m/>
    <n v="1"/>
    <m/>
    <m/>
    <s v="Žirovnice"/>
  </r>
  <r>
    <m/>
    <d v="2019-03-23T00:00:00"/>
    <s v="Šindelář Pavel"/>
    <s v="Dea"/>
    <n v="4"/>
    <m/>
    <n v="1"/>
    <m/>
    <m/>
    <n v="3"/>
    <m/>
    <m/>
    <m/>
    <m/>
    <s v="NPP Americká zahrada, Klatovská hůra, sv.Markéty,Bolfánek"/>
  </r>
  <r>
    <m/>
    <d v="2019-03-23T00:00:00"/>
    <s v="Šmerdovi"/>
    <s v="Ája"/>
    <n v="3"/>
    <m/>
    <n v="1"/>
    <n v="1"/>
    <m/>
    <n v="1"/>
    <m/>
    <m/>
    <m/>
    <m/>
    <s v="NPP Semínský přesyp, NPR Bohdanečský rybník, Kladruby n.L."/>
  </r>
  <r>
    <m/>
    <d v="2019-03-23T00:00:00"/>
    <s v="Vrkoč Ivan"/>
    <s v="Lája + Bianca"/>
    <n v="5"/>
    <m/>
    <m/>
    <n v="1"/>
    <n v="3"/>
    <n v="1"/>
    <m/>
    <m/>
    <m/>
    <m/>
    <s v="NPR Čertova stěna, Vítkův kámen + rozhledna, Velký Plešný,Medvědí vrch"/>
  </r>
  <r>
    <m/>
    <d v="2019-03-23T00:00:00"/>
    <s v="Kučerová Iveta"/>
    <s v="Gimi"/>
    <n v="4"/>
    <n v="1"/>
    <m/>
    <m/>
    <n v="1"/>
    <n v="2"/>
    <m/>
    <m/>
    <m/>
    <m/>
    <s v="NP Krkonoše, Černá hora + rozhledna, Stezka korunami stromů Janské Lázně"/>
  </r>
  <r>
    <m/>
    <d v="2019-03-23T00:00:00"/>
    <s v="Dobiášová Kateřina"/>
    <s v="Lex"/>
    <n v="2"/>
    <m/>
    <n v="1"/>
    <m/>
    <m/>
    <m/>
    <m/>
    <n v="1"/>
    <m/>
    <m/>
    <s v="NPP Čertova zeď, pramen Ploučnice"/>
  </r>
  <r>
    <m/>
    <d v="2019-03-23T00:00:00"/>
    <s v="Nedoma Radim"/>
    <s v="Čaky"/>
    <n v="4"/>
    <m/>
    <m/>
    <m/>
    <m/>
    <n v="2"/>
    <n v="1"/>
    <n v="1"/>
    <m/>
    <m/>
    <s v="Božka, Kanihůra - Bílov, soutok Moravy a Bystřice, pramen Odry"/>
  </r>
  <r>
    <m/>
    <d v="2019-03-23T00:00:00"/>
    <s v="Kalinová Jana"/>
    <s v="Bigi"/>
    <n v="1"/>
    <m/>
    <n v="1"/>
    <m/>
    <m/>
    <m/>
    <m/>
    <m/>
    <m/>
    <m/>
    <s v="NPP Medník"/>
  </r>
  <r>
    <m/>
    <d v="2019-03-23T00:00:00"/>
    <s v="Štraitová Milada"/>
    <s v="Beky"/>
    <n v="1"/>
    <m/>
    <n v="1"/>
    <m/>
    <m/>
    <m/>
    <m/>
    <m/>
    <m/>
    <m/>
    <s v="NPP Rudické propadání"/>
  </r>
  <r>
    <m/>
    <d v="2019-03-23T00:00:00"/>
    <s v="Kouřil Milan"/>
    <s v="Bessie + Mína"/>
    <n v="1"/>
    <m/>
    <n v="1"/>
    <m/>
    <m/>
    <m/>
    <m/>
    <m/>
    <m/>
    <m/>
    <s v="NPP Rudické propadání"/>
  </r>
  <r>
    <m/>
    <d v="2019-03-23T00:00:00"/>
    <s v="Libenská Katka"/>
    <s v="Art"/>
    <n v="4"/>
    <m/>
    <m/>
    <n v="1"/>
    <m/>
    <n v="1"/>
    <n v="2"/>
    <m/>
    <m/>
    <m/>
    <s v="NPR Libický luh, Milíř, Labe a Orlice, Labe a Cidlina"/>
  </r>
  <r>
    <m/>
    <d v="2019-03-23T00:00:00"/>
    <s v="Minolová Jana"/>
    <s v="Chilli"/>
    <n v="3"/>
    <n v="1"/>
    <m/>
    <m/>
    <n v="1"/>
    <n v="1"/>
    <m/>
    <m/>
    <m/>
    <m/>
    <s v="KRNAP, Sněžka, Hnědý vrch"/>
  </r>
  <r>
    <m/>
    <d v="2019-03-24T00:00:00"/>
    <s v="Straka Richard"/>
    <s v="Hugo"/>
    <n v="1"/>
    <m/>
    <m/>
    <m/>
    <m/>
    <m/>
    <n v="1"/>
    <m/>
    <m/>
    <m/>
    <s v="soutok Želivky a Trnavy"/>
  </r>
  <r>
    <m/>
    <d v="2019-03-24T00:00:00"/>
    <s v="Šindelář Pavel"/>
    <s v="Dea"/>
    <n v="2"/>
    <m/>
    <m/>
    <m/>
    <m/>
    <n v="1"/>
    <n v="1"/>
    <m/>
    <m/>
    <m/>
    <s v="soutok Úhlávky a Mže, Heřmanova Huť"/>
  </r>
  <r>
    <m/>
    <d v="2019-03-24T00:00:00"/>
    <s v="Nedoma Radim"/>
    <s v="Čaky"/>
    <n v="5"/>
    <m/>
    <m/>
    <m/>
    <m/>
    <n v="5"/>
    <m/>
    <m/>
    <m/>
    <m/>
    <s v="Šance, Bezručova vyhlídka,  Olšová v Pohoří. Slatina, Veselská rozhledna"/>
  </r>
  <r>
    <m/>
    <d v="2019-03-24T00:00:00"/>
    <s v="Novotná Tatiana"/>
    <s v="Sid"/>
    <n v="1"/>
    <m/>
    <m/>
    <m/>
    <m/>
    <n v="1"/>
    <m/>
    <m/>
    <m/>
    <m/>
    <s v="Svatobor"/>
  </r>
  <r>
    <m/>
    <d v="2019-03-24T00:00:00"/>
    <s v="Píšová Klára"/>
    <s v="Alík"/>
    <n v="1"/>
    <n v="1"/>
    <m/>
    <m/>
    <m/>
    <m/>
    <m/>
    <m/>
    <m/>
    <m/>
    <s v="NP České Švýcarsko"/>
  </r>
  <r>
    <m/>
    <d v="2019-03-24T00:00:00"/>
    <s v="Rozdolská Dana "/>
    <s v="Cejlí"/>
    <n v="1"/>
    <m/>
    <n v="1"/>
    <m/>
    <m/>
    <m/>
    <m/>
    <m/>
    <m/>
    <m/>
    <s v="NPP Polické stěny"/>
  </r>
  <r>
    <m/>
    <d v="2019-03-27T00:00:00"/>
    <s v="Pechanová Hana"/>
    <s v="Denis"/>
    <n v="1"/>
    <m/>
    <m/>
    <n v="1"/>
    <m/>
    <m/>
    <m/>
    <m/>
    <m/>
    <m/>
    <s v="NPR Novozámecký rybník"/>
  </r>
  <r>
    <m/>
    <d v="2019-03-28T00:00:00"/>
    <s v="Pečinková Ivana"/>
    <s v="Tara"/>
    <n v="1"/>
    <m/>
    <m/>
    <m/>
    <n v="1"/>
    <m/>
    <m/>
    <m/>
    <m/>
    <m/>
    <s v="Ropice"/>
  </r>
  <r>
    <m/>
    <d v="2019-03-29T00:00:00"/>
    <s v="Kučerová Iveta"/>
    <s v="Gimi"/>
    <n v="3"/>
    <m/>
    <n v="1"/>
    <m/>
    <m/>
    <n v="2"/>
    <m/>
    <m/>
    <m/>
    <m/>
    <s v="NPP Kozákov + rozhledna, Trosky"/>
  </r>
  <r>
    <m/>
    <d v="2019-03-29T00:00:00"/>
    <s v="Straka Richard"/>
    <s v="Hugo"/>
    <n v="1"/>
    <m/>
    <m/>
    <m/>
    <m/>
    <m/>
    <m/>
    <n v="1"/>
    <m/>
    <m/>
    <s v="Kamenice"/>
  </r>
  <r>
    <m/>
    <d v="2019-03-30T00:00:00"/>
    <s v="Kučerová Iveta"/>
    <s v="Gimi"/>
    <n v="2"/>
    <m/>
    <m/>
    <m/>
    <m/>
    <n v="2"/>
    <m/>
    <m/>
    <m/>
    <m/>
    <s v="Věž samostatnosti, Hořický Chlum"/>
  </r>
  <r>
    <m/>
    <d v="2019-03-30T00:00:00"/>
    <s v="Libenská Katka"/>
    <s v="Art"/>
    <n v="3"/>
    <m/>
    <m/>
    <m/>
    <m/>
    <n v="2"/>
    <m/>
    <n v="1"/>
    <m/>
    <m/>
    <s v="Památník Vojna, Důlní věž Řimbaba, pramen Kocáby"/>
  </r>
  <r>
    <m/>
    <d v="2019-03-30T00:00:00"/>
    <s v="Pichová Alena"/>
    <s v="Baron"/>
    <n v="1"/>
    <m/>
    <m/>
    <m/>
    <m/>
    <n v="1"/>
    <m/>
    <m/>
    <m/>
    <m/>
    <s v="Pepř"/>
  </r>
  <r>
    <m/>
    <d v="2019-03-30T00:00:00"/>
    <s v="Minolová Jana"/>
    <s v="Chilli"/>
    <n v="2"/>
    <m/>
    <m/>
    <m/>
    <m/>
    <n v="1"/>
    <n v="1"/>
    <m/>
    <m/>
    <m/>
    <s v="Křížový vrch, soutok Merklínka a Radbuza"/>
  </r>
  <r>
    <m/>
    <d v="2019-03-30T00:00:00"/>
    <s v="Sýkorová Katka"/>
    <s v="Alfons"/>
    <n v="2"/>
    <m/>
    <m/>
    <m/>
    <m/>
    <n v="1"/>
    <n v="1"/>
    <m/>
    <m/>
    <m/>
    <s v="Křížový vrch, soutok Merklínka a Radbuza"/>
  </r>
  <r>
    <m/>
    <d v="2019-03-30T00:00:00"/>
    <s v="Vrkoč Ivan"/>
    <s v="Lája + Bianca"/>
    <n v="8"/>
    <m/>
    <m/>
    <m/>
    <m/>
    <n v="2"/>
    <n v="2"/>
    <n v="4"/>
    <m/>
    <m/>
    <s v="Kostelní Hlavno,Mandava,Konopišťský p.+Sázava,Labe+Jizera,pramen:Konopišťský p.,Chotýšanka,Botič,Rokytka"/>
  </r>
  <r>
    <m/>
    <d v="2019-03-30T00:00:00"/>
    <s v="Lachmanová Fany"/>
    <s v="Rory"/>
    <n v="1"/>
    <m/>
    <m/>
    <m/>
    <m/>
    <n v="1"/>
    <m/>
    <m/>
    <m/>
    <m/>
    <s v="Křížový vrch"/>
  </r>
  <r>
    <m/>
    <d v="2019-03-30T00:00:00"/>
    <s v="Weiterovi"/>
    <s v="Bara"/>
    <n v="1"/>
    <m/>
    <m/>
    <m/>
    <m/>
    <n v="1"/>
    <m/>
    <m/>
    <m/>
    <m/>
    <s v="Kraví hora"/>
  </r>
  <r>
    <m/>
    <d v="2019-03-31T00:00:00"/>
    <s v="Minolová Jana"/>
    <s v="Chilli"/>
    <n v="1"/>
    <m/>
    <m/>
    <n v="1"/>
    <m/>
    <m/>
    <m/>
    <m/>
    <m/>
    <m/>
    <s v="NPR Větrušické rokle"/>
  </r>
  <r>
    <m/>
    <d v="2019-03-31T00:00:00"/>
    <s v="Kalinová Jana"/>
    <s v="Bigi"/>
    <n v="1"/>
    <m/>
    <m/>
    <n v="1"/>
    <m/>
    <m/>
    <m/>
    <m/>
    <m/>
    <m/>
    <s v="NPR Drbákov-Albertovy skály"/>
  </r>
  <r>
    <m/>
    <d v="2019-03-31T00:00:00"/>
    <s v="Kouřil Milan"/>
    <s v="Bessie + Mína"/>
    <n v="1"/>
    <m/>
    <m/>
    <m/>
    <m/>
    <m/>
    <n v="1"/>
    <m/>
    <m/>
    <m/>
    <s v="soutok Moravy a Bečvy"/>
  </r>
  <r>
    <m/>
    <d v="2019-03-31T00:00:00"/>
    <s v="Nedoma Radim"/>
    <s v="Čaky"/>
    <n v="2"/>
    <m/>
    <m/>
    <m/>
    <n v="2"/>
    <m/>
    <m/>
    <m/>
    <m/>
    <m/>
    <s v="Malý Smrk, Smrk"/>
  </r>
  <r>
    <m/>
    <d v="2019-03-31T00:00:00"/>
    <s v="Rozdolská Dana "/>
    <s v="Cejlí"/>
    <n v="2"/>
    <m/>
    <m/>
    <m/>
    <m/>
    <n v="2"/>
    <m/>
    <m/>
    <m/>
    <m/>
    <s v="Na Signálu, Dobrošov"/>
  </r>
  <r>
    <m/>
    <d v="2019-03-31T00:00:00"/>
    <s v="Sýkorová Katka"/>
    <s v="Alfons"/>
    <n v="1"/>
    <m/>
    <m/>
    <m/>
    <m/>
    <n v="1"/>
    <m/>
    <m/>
    <m/>
    <m/>
    <s v="Žižkovský vysílač, Mlíkárna v Riegrových sadech"/>
  </r>
  <r>
    <m/>
    <d v="2019-03-31T00:00:00"/>
    <s v="Vrkoč Ivan"/>
    <s v="Lája + Bianca"/>
    <n v="3"/>
    <m/>
    <m/>
    <m/>
    <m/>
    <m/>
    <n v="2"/>
    <n v="1"/>
    <m/>
    <m/>
    <s v="Vltava+Křemežský p., Vltava +Polečnice,pramen Bezdrevského p."/>
  </r>
  <r>
    <m/>
    <d v="2019-03-31T00:00:00"/>
    <s v="Krhovják Tomáš"/>
    <s v="Iber"/>
    <n v="1"/>
    <m/>
    <m/>
    <m/>
    <m/>
    <n v="1"/>
    <m/>
    <m/>
    <m/>
    <m/>
    <s v="Starý Jičín"/>
  </r>
  <r>
    <m/>
    <d v="2019-04-03T00:00:00"/>
    <s v="Pechanová Hana"/>
    <s v="Denis"/>
    <n v="1"/>
    <m/>
    <n v="1"/>
    <m/>
    <m/>
    <m/>
    <m/>
    <m/>
    <m/>
    <m/>
    <s v="NPP Panská skála"/>
  </r>
  <r>
    <m/>
    <d v="2019-04-04T00:00:00"/>
    <s v="Lachmanová Fany"/>
    <s v="Rory"/>
    <n v="1"/>
    <m/>
    <m/>
    <m/>
    <m/>
    <n v="1"/>
    <m/>
    <m/>
    <m/>
    <m/>
    <s v="Doubravka"/>
  </r>
  <r>
    <m/>
    <d v="2019-04-04T00:00:00"/>
    <s v="Libenská Katka"/>
    <s v="Art"/>
    <n v="1"/>
    <m/>
    <m/>
    <m/>
    <m/>
    <m/>
    <n v="1"/>
    <m/>
    <m/>
    <m/>
    <s v="soutok Úhlavy a Radbuzy"/>
  </r>
  <r>
    <m/>
    <d v="2019-04-05T00:00:00"/>
    <s v="Weiterovi"/>
    <s v="Bara"/>
    <n v="1"/>
    <m/>
    <m/>
    <m/>
    <m/>
    <m/>
    <n v="1"/>
    <m/>
    <m/>
    <m/>
    <s v="soutok Křemžského potoka a Vltavy"/>
  </r>
  <r>
    <m/>
    <d v="2019-04-06T00:00:00"/>
    <s v="Kouřil Milan"/>
    <s v="Bessie + Mína"/>
    <n v="1"/>
    <m/>
    <m/>
    <m/>
    <m/>
    <n v="1"/>
    <m/>
    <m/>
    <m/>
    <m/>
    <s v="Vinice"/>
  </r>
  <r>
    <m/>
    <d v="2019-04-06T00:00:00"/>
    <s v="Rozdolská Dana "/>
    <s v="Cejlí"/>
    <n v="2"/>
    <m/>
    <m/>
    <m/>
    <m/>
    <n v="1"/>
    <m/>
    <n v="1"/>
    <m/>
    <m/>
    <s v="Čáp, pramen Metuje"/>
  </r>
  <r>
    <m/>
    <d v="2019-04-06T00:00:00"/>
    <s v="Štraitová Milada"/>
    <s v="Beky"/>
    <n v="2"/>
    <m/>
    <n v="1"/>
    <m/>
    <m/>
    <m/>
    <n v="1"/>
    <m/>
    <m/>
    <m/>
    <s v="NPP Pouzdřanská step, soutok Jihlavy a Svratky"/>
  </r>
  <r>
    <m/>
    <d v="2019-04-06T00:00:00"/>
    <s v="Urabetzová Renata"/>
    <s v="Abigail"/>
    <n v="2"/>
    <m/>
    <n v="1"/>
    <m/>
    <m/>
    <m/>
    <n v="1"/>
    <m/>
    <m/>
    <m/>
    <s v="NPP Pouzdřanská step, soutok Jihlavy a Svratky"/>
  </r>
  <r>
    <m/>
    <d v="2019-04-06T00:00:00"/>
    <s v="Nedoma Radim"/>
    <s v="Čaky"/>
    <n v="4"/>
    <m/>
    <m/>
    <m/>
    <m/>
    <n v="3"/>
    <n v="1"/>
    <m/>
    <m/>
    <m/>
    <s v="Nová radnice, Hladnov, Bolt Tower, soutok Ostravice a Lučiny"/>
  </r>
  <r>
    <m/>
    <d v="2019-04-06T00:00:00"/>
    <s v="Netrvalová Pavla"/>
    <s v="Matouš"/>
    <n v="2"/>
    <m/>
    <m/>
    <m/>
    <m/>
    <n v="2"/>
    <m/>
    <m/>
    <m/>
    <m/>
    <s v="Háčkovaná, Sedlo u Albrechtic"/>
  </r>
  <r>
    <m/>
    <d v="2019-04-06T00:00:00"/>
    <s v="Ublová Marie"/>
    <s v="Hugo"/>
    <n v="2"/>
    <m/>
    <m/>
    <m/>
    <m/>
    <n v="1"/>
    <m/>
    <m/>
    <m/>
    <n v="1"/>
    <s v="Blaník + rozhledna"/>
  </r>
  <r>
    <m/>
    <d v="2019-04-07T00:00:00"/>
    <s v="Libenská Katka"/>
    <s v="Art"/>
    <n v="2"/>
    <m/>
    <m/>
    <m/>
    <m/>
    <n v="2"/>
    <m/>
    <m/>
    <m/>
    <m/>
    <s v="Maják, Vodárenská věž"/>
  </r>
  <r>
    <m/>
    <d v="2019-04-07T00:00:00"/>
    <s v="Weiterovi"/>
    <s v="Bara"/>
    <n v="1"/>
    <m/>
    <m/>
    <m/>
    <m/>
    <m/>
    <m/>
    <n v="1"/>
    <m/>
    <m/>
    <s v="pramen Bezdrevského potoka"/>
  </r>
  <r>
    <m/>
    <d v="2019-04-07T00:00:00"/>
    <s v="Kouřil Milan"/>
    <s v="Bessie + Mína"/>
    <n v="5"/>
    <m/>
    <n v="4"/>
    <m/>
    <m/>
    <n v="1"/>
    <m/>
    <m/>
    <m/>
    <m/>
    <s v="NPP Cikánka, Lochkovský profil, Černé rokle, Barrandovské skály, Barrandovské terasy"/>
  </r>
  <r>
    <m/>
    <d v="2019-04-07T00:00:00"/>
    <s v="Minolová Jana"/>
    <s v="CHilli"/>
    <n v="2"/>
    <m/>
    <n v="1"/>
    <m/>
    <m/>
    <n v="1"/>
    <m/>
    <m/>
    <m/>
    <m/>
    <s v="NPP Kańk, Kaňk"/>
  </r>
  <r>
    <m/>
    <d v="2019-04-07T00:00:00"/>
    <s v="Straka Richard"/>
    <s v="Hugo"/>
    <n v="1"/>
    <m/>
    <n v="1"/>
    <m/>
    <m/>
    <m/>
    <m/>
    <m/>
    <m/>
    <m/>
    <s v="NPP Hojkovské rašeliniště"/>
  </r>
  <r>
    <m/>
    <d v="2019-04-07T00:00:00"/>
    <s v="Vrkoč Ivan"/>
    <s v="Lája + Bianca"/>
    <n v="7"/>
    <m/>
    <n v="1"/>
    <m/>
    <m/>
    <n v="3"/>
    <n v="2"/>
    <n v="1"/>
    <m/>
    <m/>
    <s v="NPP Stročov,Doubravka, Jenštejn,Žižkovský vysílač,Vltava+Rokytka+Botič,pramen Mastníku"/>
  </r>
  <r>
    <m/>
    <d v="2019-04-10T00:00:00"/>
    <s v="Míka Marek"/>
    <s v="Holly"/>
    <n v="2"/>
    <m/>
    <m/>
    <m/>
    <m/>
    <n v="1"/>
    <n v="1"/>
    <m/>
    <m/>
    <m/>
    <s v="Český Šternberk, soutok Blanice a Sázavy"/>
  </r>
  <r>
    <m/>
    <d v="2019-04-13T00:00:00"/>
    <s v="Netrvalová Pavla"/>
    <s v="Matouš"/>
    <n v="2"/>
    <n v="1"/>
    <m/>
    <m/>
    <m/>
    <n v="1"/>
    <m/>
    <m/>
    <m/>
    <m/>
    <s v="NP Šumava, Rabí "/>
  </r>
  <r>
    <m/>
    <d v="2019-04-13T00:00:00"/>
    <s v="Straka Richard"/>
    <s v="Hugo"/>
    <n v="1"/>
    <m/>
    <m/>
    <m/>
    <m/>
    <m/>
    <m/>
    <n v="1"/>
    <m/>
    <m/>
    <s v="pramen Jihlavy"/>
  </r>
  <r>
    <m/>
    <d v="2019-04-13T00:00:00"/>
    <s v="Kouřil Milan"/>
    <s v="Bessie + Mína"/>
    <n v="2"/>
    <m/>
    <m/>
    <m/>
    <m/>
    <n v="1"/>
    <n v="1"/>
    <m/>
    <m/>
    <m/>
    <s v="Fajtuv kopec, soutok Balinky a Oslavy"/>
  </r>
  <r>
    <m/>
    <d v="2019-04-14T00:00:00"/>
    <s v="Nedoma Radim"/>
    <s v="Čaky"/>
    <n v="2"/>
    <m/>
    <m/>
    <m/>
    <m/>
    <n v="1"/>
    <n v="1"/>
    <m/>
    <m/>
    <m/>
    <s v="Bohumín, soutok Odry a Olše"/>
  </r>
  <r>
    <m/>
    <d v="2019-04-14T00:00:00"/>
    <s v="Kalinová Jana"/>
    <s v="Bigi"/>
    <n v="1"/>
    <m/>
    <m/>
    <m/>
    <m/>
    <n v="1"/>
    <m/>
    <m/>
    <m/>
    <m/>
    <s v="Orlík u Humpolce"/>
  </r>
  <r>
    <m/>
    <d v="2019-04-14T00:00:00"/>
    <s v="Kouřil Milan"/>
    <s v="Bessie + Mína"/>
    <n v="1"/>
    <m/>
    <m/>
    <m/>
    <m/>
    <n v="1"/>
    <m/>
    <m/>
    <m/>
    <m/>
    <s v="Orlík u Humpolce"/>
  </r>
  <r>
    <m/>
    <d v="2019-04-14T00:00:00"/>
    <s v="Weiterovi"/>
    <s v="Bara"/>
    <n v="1"/>
    <m/>
    <m/>
    <m/>
    <m/>
    <m/>
    <m/>
    <n v="1"/>
    <m/>
    <m/>
    <s v="pramen Křemežského potoka"/>
  </r>
  <r>
    <m/>
    <d v="2019-04-14T00:00:00"/>
    <s v="Urabetzová Renata"/>
    <s v="Abigail"/>
    <n v="1"/>
    <m/>
    <m/>
    <m/>
    <m/>
    <n v="1"/>
    <m/>
    <m/>
    <m/>
    <m/>
    <s v="Kraví hora"/>
  </r>
  <r>
    <m/>
    <d v="2019-04-15T00:00:00"/>
    <s v="Urabetzová Renata"/>
    <s v="Abigail"/>
    <n v="2"/>
    <m/>
    <m/>
    <m/>
    <m/>
    <n v="1"/>
    <n v="1"/>
    <m/>
    <m/>
    <m/>
    <s v="Rumburak, soutok Dyje a Želetavky"/>
  </r>
  <r>
    <m/>
    <d v="2019-04-17T00:00:00"/>
    <s v="Kouřil Milan"/>
    <s v="Bessie + Mína"/>
    <n v="1"/>
    <m/>
    <m/>
    <m/>
    <m/>
    <n v="1"/>
    <m/>
    <m/>
    <m/>
    <m/>
    <s v="Jenštejn"/>
  </r>
  <r>
    <m/>
    <d v="2019-04-18T00:00:00"/>
    <s v="Pichová Alena"/>
    <s v="Baron"/>
    <n v="7"/>
    <m/>
    <m/>
    <n v="1"/>
    <n v="4"/>
    <n v="2"/>
    <m/>
    <m/>
    <m/>
    <m/>
    <s v="Klinovec + rozhl., NPR Božidarské rašelinište, Božídarský Špičák, Nad Rýžovou, Plešivec"/>
  </r>
  <r>
    <m/>
    <d v="2019-04-19T00:00:00"/>
    <s v="Míka Marek"/>
    <s v="Holly"/>
    <n v="3"/>
    <m/>
    <n v="1"/>
    <m/>
    <m/>
    <m/>
    <m/>
    <n v="2"/>
    <m/>
    <m/>
    <s v="NPP Chýnovské jeskyně, pramen Trnavy, Blanice"/>
  </r>
  <r>
    <m/>
    <d v="2019-04-19T00:00:00"/>
    <s v="Kalinová Jana"/>
    <s v="Bigi"/>
    <n v="3"/>
    <m/>
    <n v="1"/>
    <m/>
    <m/>
    <m/>
    <m/>
    <n v="2"/>
    <m/>
    <m/>
    <s v="NPP Chýnovské jeskyně, pramen Trnavy, Blanice"/>
  </r>
  <r>
    <m/>
    <d v="2019-04-19T00:00:00"/>
    <s v="Libenská Katka"/>
    <s v="Art"/>
    <n v="3"/>
    <m/>
    <m/>
    <m/>
    <m/>
    <n v="2"/>
    <m/>
    <m/>
    <m/>
    <n v="1"/>
    <s v="Blaník + rozhledna"/>
  </r>
  <r>
    <m/>
    <d v="2019-04-19T00:00:00"/>
    <s v="Rozdolská Dana "/>
    <s v="Cejlí"/>
    <n v="1"/>
    <m/>
    <m/>
    <m/>
    <m/>
    <n v="1"/>
    <m/>
    <m/>
    <m/>
    <m/>
    <s v="Ruprechtický Špičák"/>
  </r>
  <r>
    <m/>
    <d v="2019-04-19T00:00:00"/>
    <s v="Kučerová Iveta"/>
    <s v="Gimi"/>
    <n v="1"/>
    <m/>
    <m/>
    <m/>
    <m/>
    <n v="1"/>
    <m/>
    <m/>
    <m/>
    <m/>
    <s v="Kumburk"/>
  </r>
  <r>
    <m/>
    <d v="2019-04-19T00:00:00"/>
    <s v="Kouřil Milan"/>
    <s v="Bessie + Mína"/>
    <n v="3"/>
    <m/>
    <n v="1"/>
    <m/>
    <m/>
    <n v="1"/>
    <m/>
    <m/>
    <n v="1"/>
    <m/>
    <s v="NPP Kleneč, Kratochvílova rozhl., Říp"/>
  </r>
  <r>
    <m/>
    <d v="2019-04-19T00:00:00"/>
    <s v="Pichová Alena"/>
    <s v="Baron"/>
    <n v="4"/>
    <m/>
    <m/>
    <n v="1"/>
    <n v="1"/>
    <n v="2"/>
    <m/>
    <m/>
    <m/>
    <m/>
    <s v="Blatenský vrch + rozhl., NPR Rolavske vrchoviště, Olověný vrch"/>
  </r>
  <r>
    <m/>
    <d v="2019-04-19T00:00:00"/>
    <s v="Vaňourková Dana"/>
    <s v="Bery"/>
    <n v="1"/>
    <m/>
    <n v="1"/>
    <m/>
    <m/>
    <m/>
    <m/>
    <m/>
    <m/>
    <m/>
    <s v="NPP Jeskyně Pekárna,"/>
  </r>
  <r>
    <m/>
    <d v="2019-04-19T00:00:00"/>
    <s v="Weiterovi"/>
    <s v="Bara"/>
    <n v="2"/>
    <m/>
    <m/>
    <n v="1"/>
    <m/>
    <n v="1"/>
    <m/>
    <m/>
    <m/>
    <m/>
    <s v="NPR Adršpašsko-teplické skály, Čáp"/>
  </r>
  <r>
    <m/>
    <d v="2019-04-19T00:00:00"/>
    <s v="Hanč Jaroslav"/>
    <s v="Ali"/>
    <n v="3"/>
    <n v="1"/>
    <m/>
    <m/>
    <n v="1"/>
    <n v="1"/>
    <m/>
    <m/>
    <m/>
    <m/>
    <s v="Černá hora - + NPP + rozhledna"/>
  </r>
  <r>
    <m/>
    <d v="2019-04-20T00:00:00"/>
    <s v="Libenská Katka"/>
    <s v="Art"/>
    <n v="1"/>
    <m/>
    <m/>
    <m/>
    <m/>
    <n v="1"/>
    <m/>
    <m/>
    <m/>
    <m/>
    <s v="Radyně"/>
  </r>
  <r>
    <m/>
    <d v="2019-04-20T00:00:00"/>
    <s v="Rozdolská Dana "/>
    <s v="Cejlí"/>
    <n v="2"/>
    <m/>
    <m/>
    <m/>
    <m/>
    <n v="2"/>
    <m/>
    <m/>
    <m/>
    <m/>
    <s v="Zámek Nové Město nad Metují, Náchodský zámek"/>
  </r>
  <r>
    <m/>
    <d v="2019-04-20T00:00:00"/>
    <s v="Kučerová Iveta"/>
    <s v="Gimi"/>
    <n v="1"/>
    <m/>
    <n v="1"/>
    <m/>
    <m/>
    <m/>
    <m/>
    <m/>
    <m/>
    <m/>
    <s v="NPP Bozkovské dolomitové jeskyně"/>
  </r>
  <r>
    <m/>
    <d v="2019-04-20T00:00:00"/>
    <s v="Weiterovi"/>
    <s v="Bara"/>
    <n v="2"/>
    <m/>
    <n v="1"/>
    <n v="1"/>
    <m/>
    <m/>
    <m/>
    <m/>
    <m/>
    <m/>
    <s v="NPR Broumovské stěny, NPP  Polické stěny"/>
  </r>
  <r>
    <m/>
    <d v="2019-04-20T00:00:00"/>
    <s v="Kouřil Milan"/>
    <s v="Bessie + Mína"/>
    <n v="5"/>
    <m/>
    <n v="1"/>
    <m/>
    <m/>
    <n v="3"/>
    <n v="1"/>
    <m/>
    <m/>
    <m/>
    <s v="NPP Vrkoč, Malé sedlo, hrad Střekov, Větruše, soutok Labe a Bílina"/>
  </r>
  <r>
    <m/>
    <d v="2019-04-20T00:00:00"/>
    <s v="Pichová Alena"/>
    <s v="Baron"/>
    <n v="1"/>
    <m/>
    <m/>
    <m/>
    <n v="1"/>
    <m/>
    <m/>
    <m/>
    <m/>
    <m/>
    <s v="Meluzína"/>
  </r>
  <r>
    <m/>
    <d v="2019-04-21T00:00:00"/>
    <s v="Vrkoč Ivan"/>
    <s v="Lája + Bianca"/>
    <n v="3"/>
    <m/>
    <n v="1"/>
    <m/>
    <m/>
    <m/>
    <n v="2"/>
    <m/>
    <m/>
    <m/>
    <s v="NPP Ruda, soutok Lužnice a Nežárka a Zlatá stoka"/>
  </r>
  <r>
    <m/>
    <d v="2019-04-21T00:00:00"/>
    <s v="Jareš Ondřej"/>
    <s v="Indy"/>
    <n v="2"/>
    <m/>
    <m/>
    <m/>
    <m/>
    <m/>
    <n v="2"/>
    <m/>
    <m/>
    <m/>
    <s v="soutok Morava a Bystřice a Desná"/>
  </r>
  <r>
    <m/>
    <d v="2019-04-21T00:00:00"/>
    <s v="Nedoma Radim"/>
    <s v="Čaky"/>
    <n v="2"/>
    <m/>
    <m/>
    <m/>
    <n v="2"/>
    <m/>
    <m/>
    <m/>
    <m/>
    <m/>
    <s v="Javorový, Šindelná"/>
  </r>
  <r>
    <m/>
    <d v="2019-04-21T00:00:00"/>
    <s v="Kouřil Milan"/>
    <s v="Bessie + Mína"/>
    <n v="1"/>
    <m/>
    <m/>
    <m/>
    <m/>
    <n v="1"/>
    <m/>
    <m/>
    <m/>
    <m/>
    <s v="Erbenova vyhlídka"/>
  </r>
  <r>
    <m/>
    <d v="2019-04-21T00:00:00"/>
    <s v="Vaňourková Dana"/>
    <s v="Bery"/>
    <n v="1"/>
    <m/>
    <m/>
    <m/>
    <m/>
    <n v="1"/>
    <m/>
    <m/>
    <m/>
    <m/>
    <s v="Kelčský Javorník"/>
  </r>
  <r>
    <m/>
    <d v="2019-04-22T00:00:00"/>
    <s v="Rozdolská Dana "/>
    <s v="Cejlí"/>
    <n v="3"/>
    <m/>
    <n v="1"/>
    <m/>
    <m/>
    <n v="2"/>
    <m/>
    <m/>
    <m/>
    <m/>
    <s v="NPP Babiččino údolí, Žernov, Rtyně v Podkrkonoší"/>
  </r>
  <r>
    <m/>
    <d v="2019-04-22T00:00:00"/>
    <s v="Straka Richard"/>
    <s v="Hugo"/>
    <n v="3"/>
    <m/>
    <n v="1"/>
    <n v="1"/>
    <m/>
    <n v="1"/>
    <m/>
    <m/>
    <m/>
    <m/>
    <s v="NPP Stránská skála, NPR Zhejral, Kamenný vrch"/>
  </r>
  <r>
    <m/>
    <d v="2019-04-22T00:00:00"/>
    <s v="Pačesová Lenka"/>
    <s v="Dorka"/>
    <n v="1"/>
    <m/>
    <m/>
    <m/>
    <m/>
    <n v="1"/>
    <m/>
    <m/>
    <m/>
    <m/>
    <s v="Goethova vyhlídka"/>
  </r>
  <r>
    <m/>
    <d v="2019-04-22T00:00:00"/>
    <s v="Krhovják Tomáš"/>
    <s v="Iber"/>
    <n v="5"/>
    <m/>
    <m/>
    <n v="1"/>
    <n v="1"/>
    <n v="1"/>
    <m/>
    <n v="2"/>
    <m/>
    <m/>
    <s v="NPR Salajka, Vysoká, Súkenická, pramen Vsetínské a Rožnovské Bečvy"/>
  </r>
  <r>
    <m/>
    <d v="2019-04-22T00:00:00"/>
    <s v="Netrvalová Pavla"/>
    <s v="Matouš"/>
    <n v="5"/>
    <m/>
    <n v="1"/>
    <n v="1"/>
    <m/>
    <n v="2"/>
    <n v="1"/>
    <m/>
    <m/>
    <m/>
    <s v="NPR Oblík, NPP Kamenná slunce, Stradonka, Stříbrník, soutok Kosový potok a Mže"/>
  </r>
  <r>
    <m/>
    <d v="2019-04-22T00:00:00"/>
    <s v="Minolová Jana"/>
    <s v="CHilli"/>
    <n v="1"/>
    <m/>
    <m/>
    <m/>
    <m/>
    <m/>
    <n v="1"/>
    <m/>
    <m/>
    <m/>
    <s v="soutok Vltavy a Křemžského potoka"/>
  </r>
  <r>
    <m/>
    <d v="2019-04-22T00:00:00"/>
    <s v="Šmerdovi"/>
    <s v="Ája"/>
    <n v="4"/>
    <m/>
    <m/>
    <n v="1"/>
    <m/>
    <n v="3"/>
    <m/>
    <m/>
    <m/>
    <m/>
    <s v="NPR Hůrka u Hranic, Maruška, Hostýn, Kelčský Javorník"/>
  </r>
  <r>
    <m/>
    <d v="2019-04-22T00:00:00"/>
    <s v="Nedoma Radim"/>
    <s v="Čaky"/>
    <n v="2"/>
    <m/>
    <m/>
    <m/>
    <m/>
    <n v="2"/>
    <m/>
    <m/>
    <m/>
    <m/>
    <s v="Kelčský Javorník, Maruška"/>
  </r>
  <r>
    <m/>
    <d v="2019-04-22T00:00:00"/>
    <s v="Kouřil Milan"/>
    <s v="Bessie + Mína"/>
    <n v="5"/>
    <m/>
    <n v="1"/>
    <n v="1"/>
    <m/>
    <n v="2"/>
    <n v="1"/>
    <m/>
    <m/>
    <m/>
    <s v="NPP Bílé stráně, NPR Lovoš + rozhledna, Mostka, soutok Labe a Ohře"/>
  </r>
  <r>
    <m/>
    <d v="2019-04-22T00:00:00"/>
    <s v="Pichová Alena"/>
    <s v="Baron"/>
    <n v="1"/>
    <m/>
    <m/>
    <m/>
    <n v="1"/>
    <m/>
    <m/>
    <m/>
    <m/>
    <m/>
    <s v="Tetřeví hora"/>
  </r>
  <r>
    <m/>
    <d v="2019-04-23T00:00:00"/>
    <s v="Pichová Alena"/>
    <s v="Baron"/>
    <n v="1"/>
    <m/>
    <m/>
    <m/>
    <n v="1"/>
    <m/>
    <m/>
    <m/>
    <m/>
    <m/>
    <s v="Macecha"/>
  </r>
  <r>
    <m/>
    <d v="2019-04-24T00:00:00"/>
    <s v="Vaňourková Dana"/>
    <s v="Bery"/>
    <n v="1"/>
    <m/>
    <m/>
    <m/>
    <m/>
    <n v="1"/>
    <m/>
    <m/>
    <m/>
    <m/>
    <s v="Lahovický most"/>
  </r>
  <r>
    <m/>
    <d v="2019-04-25T00:00:00"/>
    <s v="Krhovják Tomáš"/>
    <s v="Iber"/>
    <n v="2"/>
    <m/>
    <m/>
    <m/>
    <m/>
    <n v="2"/>
    <m/>
    <m/>
    <m/>
    <m/>
    <s v="Okrouhlá, Kabátice"/>
  </r>
  <r>
    <m/>
    <d v="2019-04-25T00:00:00"/>
    <s v="Pichová Alena"/>
    <s v="Baron"/>
    <n v="2"/>
    <m/>
    <m/>
    <m/>
    <m/>
    <n v="2"/>
    <m/>
    <m/>
    <m/>
    <m/>
    <s v="Hartenstejn, Kožová hora"/>
  </r>
  <r>
    <m/>
    <d v="2019-04-26T00:00:00"/>
    <s v="Pechanová Hana"/>
    <s v="Denis"/>
    <n v="1"/>
    <m/>
    <m/>
    <m/>
    <m/>
    <m/>
    <n v="1"/>
    <m/>
    <m/>
    <m/>
    <s v="soutok Ploučnice a Robečského potoka"/>
  </r>
  <r>
    <m/>
    <d v="2019-04-26T00:00:00"/>
    <s v="Jareš Ondřej"/>
    <s v="Indy"/>
    <n v="1"/>
    <m/>
    <m/>
    <m/>
    <m/>
    <n v="1"/>
    <m/>
    <m/>
    <m/>
    <m/>
    <s v="Varhošť"/>
  </r>
  <r>
    <m/>
    <d v="2019-04-26T00:00:00"/>
    <s v="Kučerová Iveta"/>
    <s v="Gimi"/>
    <n v="2"/>
    <m/>
    <m/>
    <m/>
    <m/>
    <n v="2"/>
    <m/>
    <m/>
    <m/>
    <m/>
    <s v="Štěpánka, U borovice"/>
  </r>
  <r>
    <m/>
    <d v="2019-04-26T00:00:00"/>
    <s v="Hanč Jaroslav"/>
    <s v="Ali"/>
    <n v="1"/>
    <m/>
    <n v="1"/>
    <m/>
    <m/>
    <m/>
    <m/>
    <m/>
    <m/>
    <m/>
    <s v="NPP Babbiččino údolí"/>
  </r>
  <r>
    <m/>
    <d v="2019-04-27T00:00:00"/>
    <s v="Straka Richard"/>
    <s v="Hugo"/>
    <n v="1"/>
    <m/>
    <m/>
    <m/>
    <m/>
    <n v="1"/>
    <m/>
    <m/>
    <m/>
    <m/>
    <s v="Šacberk"/>
  </r>
  <r>
    <m/>
    <d v="2019-04-27T00:00:00"/>
    <s v="Urabetzová Renata"/>
    <s v="Abigail"/>
    <n v="1"/>
    <m/>
    <m/>
    <m/>
    <m/>
    <n v="1"/>
    <m/>
    <m/>
    <m/>
    <m/>
    <s v="Bukovanský mlýn"/>
  </r>
  <r>
    <m/>
    <d v="2019-04-27T00:00:00"/>
    <s v="Kroupová Aneta"/>
    <s v="Argo"/>
    <n v="1"/>
    <m/>
    <m/>
    <m/>
    <m/>
    <m/>
    <n v="1"/>
    <m/>
    <m/>
    <m/>
    <s v="soutok Malše a Stropnice"/>
  </r>
  <r>
    <m/>
    <d v="2019-04-27T00:00:00"/>
    <s v="Míka Marek"/>
    <s v="Holly"/>
    <n v="3"/>
    <m/>
    <m/>
    <m/>
    <m/>
    <n v="1"/>
    <n v="1"/>
    <m/>
    <n v="1"/>
    <m/>
    <s v="Kratochvílova rozhl., Říp, soutok Labe a Vltavy"/>
  </r>
  <r>
    <m/>
    <d v="2019-04-27T00:00:00"/>
    <s v="Drahošová Michala"/>
    <s v="Ema"/>
    <n v="2"/>
    <m/>
    <m/>
    <m/>
    <n v="1"/>
    <n v="1"/>
    <m/>
    <m/>
    <m/>
    <m/>
    <s v="Ještěd + rozhledna"/>
  </r>
  <r>
    <m/>
    <d v="2019-04-27T00:00:00"/>
    <s v="Jareš Ondřej"/>
    <s v="Indy"/>
    <n v="4"/>
    <m/>
    <m/>
    <n v="2"/>
    <m/>
    <n v="2"/>
    <m/>
    <m/>
    <m/>
    <m/>
    <s v="Milešovka + rozhl., Lovoš + rozhl."/>
  </r>
  <r>
    <m/>
    <d v="2019-04-27T00:00:00"/>
    <s v="Lachmanová Fany"/>
    <s v="Rory"/>
    <n v="2"/>
    <m/>
    <m/>
    <n v="1"/>
    <m/>
    <n v="1"/>
    <m/>
    <m/>
    <m/>
    <m/>
    <s v="NPR Karlovské bučiny, Hlavatice"/>
  </r>
  <r>
    <m/>
    <d v="2019-04-27T00:00:00"/>
    <s v="Minolová Jana"/>
    <s v="Chilli"/>
    <n v="2"/>
    <m/>
    <m/>
    <n v="1"/>
    <m/>
    <n v="1"/>
    <m/>
    <m/>
    <m/>
    <m/>
    <s v="NPR Karlovské bučiny, Hlavatice"/>
  </r>
  <r>
    <m/>
    <d v="2019-04-27T00:00:00"/>
    <s v="Nedoma Radim"/>
    <s v="Čaky"/>
    <n v="8"/>
    <m/>
    <n v="5"/>
    <m/>
    <m/>
    <n v="2"/>
    <m/>
    <n v="1"/>
    <m/>
    <m/>
    <s v="NPP Na Skále,Růžičkův lom,Kosířské lomy,Za Hrnčířkou,Hrdibořické rybniky,Velký Kosíř,Čechy pod Kosířem,Desná"/>
  </r>
  <r>
    <m/>
    <d v="2019-04-28T00:00:00"/>
    <s v="Novák Milan"/>
    <s v="Anka + Brebta"/>
    <n v="1"/>
    <m/>
    <m/>
    <m/>
    <m/>
    <n v="1"/>
    <m/>
    <m/>
    <m/>
    <m/>
    <s v="Maruška"/>
  </r>
  <r>
    <m/>
    <d v="2019-04-28T00:00:00"/>
    <s v="Kouřil Milan"/>
    <s v="Bessie + Mína"/>
    <n v="1"/>
    <m/>
    <m/>
    <m/>
    <m/>
    <n v="1"/>
    <m/>
    <m/>
    <m/>
    <m/>
    <s v="Křivoš"/>
  </r>
  <r>
    <m/>
    <d v="2019-04-28T00:00:00"/>
    <s v="Kučerová Iveta"/>
    <s v="Gimi"/>
    <n v="2"/>
    <m/>
    <m/>
    <m/>
    <m/>
    <n v="1"/>
    <n v="1"/>
    <m/>
    <m/>
    <m/>
    <s v="Maják Járy Cimrmana, soutok Mumlavy a Jizery"/>
  </r>
  <r>
    <m/>
    <d v="2019-04-28T00:00:00"/>
    <s v="Drahošová Michala"/>
    <s v="Ema"/>
    <n v="2"/>
    <m/>
    <m/>
    <n v="1"/>
    <m/>
    <n v="1"/>
    <m/>
    <m/>
    <m/>
    <m/>
    <s v="NPR Voděradské bučiny, Skalka"/>
  </r>
  <r>
    <m/>
    <d v="2019-04-28T00:00:00"/>
    <s v="Vrkoč Ivan"/>
    <s v="Lája + Bianca"/>
    <n v="9"/>
    <m/>
    <m/>
    <m/>
    <n v="5"/>
    <m/>
    <n v="2"/>
    <n v="2"/>
    <m/>
    <m/>
    <s v="Hrb,Světlá hora,Bukovec,Kamenná,Nad Pasekou,Volyňka+Peklov+Spůlka,pramen Peklov,Volyňka"/>
  </r>
  <r>
    <m/>
    <d v="2019-04-28T00:00:00"/>
    <s v="Nedoma Radim"/>
    <s v="Čaky"/>
    <n v="6"/>
    <m/>
    <n v="1"/>
    <n v="2"/>
    <m/>
    <n v="1"/>
    <n v="2"/>
    <m/>
    <m/>
    <m/>
    <s v="NPP Chropyňský rybník,NPR Zástudánčí,Žebračka,Brodek, soutok Moravy +Bečvy + Romže"/>
  </r>
  <r>
    <m/>
    <d v="2019-04-30T00:00:00"/>
    <s v="Kučerová Iveta"/>
    <s v="Gimi"/>
    <n v="1"/>
    <m/>
    <m/>
    <m/>
    <m/>
    <n v="1"/>
    <m/>
    <m/>
    <m/>
    <m/>
    <s v="Dubecko"/>
  </r>
  <r>
    <m/>
    <d v="2019-05-01T00:00:00"/>
    <s v="Rozdolská Dana "/>
    <s v="Cejlí"/>
    <n v="2"/>
    <m/>
    <n v="1"/>
    <m/>
    <m/>
    <n v="1"/>
    <m/>
    <m/>
    <m/>
    <m/>
    <s v="NPP Adršpašsko-teplické skály, Lenka"/>
  </r>
  <r>
    <m/>
    <d v="2019-05-01T00:00:00"/>
    <s v="Jareš Ondřej"/>
    <s v="Indy"/>
    <n v="1"/>
    <m/>
    <m/>
    <m/>
    <m/>
    <m/>
    <n v="1"/>
    <m/>
    <m/>
    <m/>
    <s v="soutok Labe a Doubravy"/>
  </r>
  <r>
    <m/>
    <d v="2019-05-01T00:00:00"/>
    <s v="Vrkoč Ivan"/>
    <s v="Lája + Bianca"/>
    <n v="5"/>
    <m/>
    <m/>
    <m/>
    <n v="2"/>
    <m/>
    <n v="1"/>
    <n v="2"/>
    <m/>
    <m/>
    <s v="Kamenec, Myslivna, soutok Černé + Pohořského potoka, pramen Lužnice, Pohořského potoka"/>
  </r>
  <r>
    <m/>
    <d v="2019-05-01T00:00:00"/>
    <s v="Kouřil Milan"/>
    <s v="Bessie + Mína"/>
    <n v="3"/>
    <m/>
    <n v="1"/>
    <m/>
    <m/>
    <n v="2"/>
    <m/>
    <m/>
    <m/>
    <m/>
    <s v="NPP Šipka, Štramberská trúba, Bílá hora"/>
  </r>
  <r>
    <m/>
    <d v="2019-05-01T00:00:00"/>
    <s v="Nedoma Radim"/>
    <s v="Čaky"/>
    <n v="1"/>
    <m/>
    <m/>
    <m/>
    <m/>
    <n v="1"/>
    <m/>
    <m/>
    <m/>
    <m/>
    <s v="Bílá hora"/>
  </r>
  <r>
    <m/>
    <d v="2019-05-01T00:00:00"/>
    <s v="Štraitová Milada"/>
    <s v="Beky"/>
    <n v="3"/>
    <m/>
    <m/>
    <m/>
    <m/>
    <n v="3"/>
    <m/>
    <m/>
    <m/>
    <m/>
    <s v="Brdo, Salaš, Modrá"/>
  </r>
  <r>
    <m/>
    <d v="2019-05-01T00:00:00"/>
    <s v="Fivébrová Marta"/>
    <s v="Alby"/>
    <n v="3"/>
    <n v="1"/>
    <m/>
    <m/>
    <n v="1"/>
    <n v="1"/>
    <m/>
    <m/>
    <m/>
    <m/>
    <s v="NP Šumava, Vítkův kámen + rozhledna "/>
  </r>
  <r>
    <m/>
    <d v="2019-05-02T00:00:00"/>
    <s v="Krhovják Tomáš"/>
    <s v="Iber"/>
    <n v="1"/>
    <m/>
    <m/>
    <m/>
    <m/>
    <n v="1"/>
    <m/>
    <m/>
    <m/>
    <m/>
    <s v="Olšová-Pohoř"/>
  </r>
  <r>
    <m/>
    <d v="2019-05-03T00:00:00"/>
    <s v="Jareš Ondřej"/>
    <s v="Indy"/>
    <n v="2"/>
    <m/>
    <n v="1"/>
    <m/>
    <m/>
    <n v="1"/>
    <m/>
    <m/>
    <m/>
    <m/>
    <s v="NPP Kaňk, Havířská bouda, Bedřichova vyhlídka"/>
  </r>
  <r>
    <m/>
    <d v="2019-05-03T00:00:00"/>
    <s v="Libenská Katka"/>
    <s v="Art"/>
    <n v="2"/>
    <m/>
    <m/>
    <m/>
    <m/>
    <n v="1"/>
    <m/>
    <n v="1"/>
    <m/>
    <m/>
    <s v="Milíře, pramen Úhlávky"/>
  </r>
  <r>
    <m/>
    <d v="2019-05-03T00:00:00"/>
    <s v="Štraitová Milada"/>
    <s v="Beky"/>
    <n v="2"/>
    <m/>
    <m/>
    <m/>
    <m/>
    <n v="1"/>
    <n v="1"/>
    <m/>
    <m/>
    <m/>
    <s v="Výhon, soutok Svitavy a Litavy"/>
  </r>
  <r>
    <m/>
    <d v="2019-05-03T00:00:00"/>
    <s v="Urabetzová Renata"/>
    <s v="Abigail"/>
    <n v="2"/>
    <m/>
    <m/>
    <m/>
    <m/>
    <n v="1"/>
    <n v="1"/>
    <m/>
    <m/>
    <m/>
    <s v="Výhon, soutok Svitavy a Litavy"/>
  </r>
  <r>
    <m/>
    <d v="2019-05-03T00:00:00"/>
    <s v="Fialová Jana"/>
    <s v="Perla"/>
    <n v="2"/>
    <m/>
    <m/>
    <m/>
    <m/>
    <n v="1"/>
    <n v="1"/>
    <m/>
    <m/>
    <m/>
    <s v="Výhon, soutok Svitavy a Litavy"/>
  </r>
  <r>
    <m/>
    <d v="2019-05-04T00:00:00"/>
    <s v="Kouřil Milan"/>
    <s v="Bessie + Mína"/>
    <n v="2"/>
    <m/>
    <m/>
    <n v="1"/>
    <m/>
    <n v="1"/>
    <m/>
    <m/>
    <m/>
    <m/>
    <s v="NPR Býčí skála, Alexandrova vyhlídka"/>
  </r>
  <r>
    <m/>
    <d v="2019-05-04T00:00:00"/>
    <s v="Urabetzová Renata"/>
    <s v="Abigail"/>
    <n v="2"/>
    <m/>
    <m/>
    <n v="1"/>
    <m/>
    <n v="1"/>
    <m/>
    <m/>
    <m/>
    <m/>
    <s v="NPR Býčí skála, Alexandrova vyhlídka"/>
  </r>
  <r>
    <m/>
    <d v="2019-05-04T00:00:00"/>
    <s v="Štraitová Milada"/>
    <s v="Beky"/>
    <n v="2"/>
    <m/>
    <m/>
    <n v="1"/>
    <m/>
    <n v="1"/>
    <m/>
    <m/>
    <m/>
    <m/>
    <s v="NPR Býčí skála, Alexandrova vyhlídka"/>
  </r>
  <r>
    <m/>
    <d v="2019-05-04T00:00:00"/>
    <s v="Nedoma Radim"/>
    <s v="Čaky"/>
    <n v="3"/>
    <m/>
    <n v="1"/>
    <m/>
    <m/>
    <m/>
    <m/>
    <n v="2"/>
    <m/>
    <m/>
    <s v="NPP Razula, pramen Lubiny, Jičínky"/>
  </r>
  <r>
    <m/>
    <d v="2019-05-04T00:00:00"/>
    <s v="Lukášovi"/>
    <s v="Fanča"/>
    <n v="3"/>
    <m/>
    <n v="1"/>
    <m/>
    <m/>
    <n v="2"/>
    <m/>
    <m/>
    <m/>
    <m/>
    <s v="NPP Drbákov - Albertovy skály, Kotel, Studený vrch"/>
  </r>
  <r>
    <m/>
    <d v="2019-05-04T00:00:00"/>
    <s v="Vrkoč Ivan"/>
    <s v="Lája + Bianca"/>
    <n v="2"/>
    <m/>
    <n v="1"/>
    <n v="1"/>
    <m/>
    <m/>
    <m/>
    <m/>
    <m/>
    <m/>
    <s v="NPP Terčino údolí, NPR Žofinka"/>
  </r>
  <r>
    <m/>
    <d v="2019-05-05T00:00:00"/>
    <s v="Pastuchová Martina"/>
    <s v="Bára"/>
    <n v="4"/>
    <m/>
    <m/>
    <n v="1"/>
    <m/>
    <n v="3"/>
    <m/>
    <m/>
    <m/>
    <m/>
    <s v="NPR Rejvíz, Zlatý Chlum, Sosnová, Strážiště(H. Kudlicha)"/>
  </r>
  <r>
    <m/>
    <d v="2019-05-05T00:00:00"/>
    <s v="Straka Richard"/>
    <s v="Hugo"/>
    <n v="3"/>
    <m/>
    <n v="1"/>
    <m/>
    <m/>
    <m/>
    <m/>
    <n v="2"/>
    <m/>
    <m/>
    <s v="NPP  Chýnovské jeskyně, pramen Blanice, Trnavy"/>
  </r>
  <r>
    <m/>
    <d v="2019-05-05T00:00:00"/>
    <s v="Vaňourková Dana"/>
    <s v="Bery"/>
    <n v="3"/>
    <m/>
    <n v="3"/>
    <m/>
    <m/>
    <m/>
    <m/>
    <m/>
    <m/>
    <m/>
    <s v="NPP Dalejský profil, Požáry, U Nového mlýna"/>
  </r>
  <r>
    <m/>
    <d v="2019-05-05T00:00:00"/>
    <s v="Minolová Jana"/>
    <s v="Chilli"/>
    <n v="3"/>
    <m/>
    <n v="2"/>
    <m/>
    <m/>
    <n v="1"/>
    <m/>
    <m/>
    <m/>
    <m/>
    <s v="NPP Hojkovské rašeliniště"/>
  </r>
  <r>
    <m/>
    <d v="2019-05-07T00:00:00"/>
    <s v="Minolová Jana"/>
    <s v="Chilli"/>
    <n v="1"/>
    <m/>
    <m/>
    <m/>
    <m/>
    <n v="1"/>
    <m/>
    <m/>
    <m/>
    <m/>
    <s v="Petřín"/>
  </r>
  <r>
    <m/>
    <d v="2019-05-08T00:00:00"/>
    <s v="Šindelář Pavel"/>
    <s v="Dea"/>
    <n v="2"/>
    <m/>
    <m/>
    <m/>
    <m/>
    <n v="1"/>
    <n v="1"/>
    <m/>
    <m/>
    <m/>
    <s v="Háčkovaná, soutok Radbúzy a Úhlavy"/>
  </r>
  <r>
    <m/>
    <d v="2019-05-08T00:00:00"/>
    <s v="Kalinová Jana"/>
    <s v="Bigi"/>
    <n v="1"/>
    <m/>
    <m/>
    <m/>
    <m/>
    <m/>
    <n v="1"/>
    <m/>
    <m/>
    <m/>
    <s v="soutok Blanice a Chotýšanky"/>
  </r>
  <r>
    <m/>
    <d v="2019-05-08T00:00:00"/>
    <s v="Netrvalová Pavla"/>
    <s v="Matouš"/>
    <n v="1"/>
    <m/>
    <m/>
    <m/>
    <m/>
    <n v="1"/>
    <m/>
    <m/>
    <m/>
    <m/>
    <s v="Na Skále"/>
  </r>
  <r>
    <m/>
    <d v="2019-05-08T00:00:00"/>
    <s v="Kučerová Iveta"/>
    <s v="Gimi"/>
    <n v="2"/>
    <m/>
    <m/>
    <m/>
    <m/>
    <n v="2"/>
    <m/>
    <m/>
    <m/>
    <m/>
    <s v="Kopanina, Frýdštejn"/>
  </r>
  <r>
    <m/>
    <d v="2019-05-08T00:00:00"/>
    <s v="Ublová Marie"/>
    <s v="Hugo"/>
    <n v="3"/>
    <m/>
    <m/>
    <m/>
    <m/>
    <n v="3"/>
    <m/>
    <m/>
    <m/>
    <m/>
    <s v="Kotnov, Hýlačka, Babina"/>
  </r>
  <r>
    <m/>
    <d v="2019-05-08T00:00:00"/>
    <s v="Libenská Katka"/>
    <s v="Art"/>
    <n v="4"/>
    <n v="1"/>
    <m/>
    <n v="1"/>
    <n v="1"/>
    <n v="1"/>
    <m/>
    <m/>
    <m/>
    <m/>
    <s v="NP Šumava, NPR Boubínský prales, Boubín + rozhledna"/>
  </r>
  <r>
    <m/>
    <d v="2019-05-08T00:00:00"/>
    <s v="Weiterovi"/>
    <s v="Bara"/>
    <n v="2"/>
    <m/>
    <n v="1"/>
    <n v="1"/>
    <m/>
    <m/>
    <m/>
    <m/>
    <m/>
    <m/>
    <s v="NPP Ruda, NPR Vyšenské kopce"/>
  </r>
  <r>
    <m/>
    <d v="2019-05-08T00:00:00"/>
    <s v="Jareš Ondřej"/>
    <s v="Indy"/>
    <n v="1"/>
    <m/>
    <m/>
    <m/>
    <m/>
    <n v="1"/>
    <m/>
    <m/>
    <m/>
    <m/>
    <s v="Stradonka"/>
  </r>
  <r>
    <m/>
    <d v="2019-05-08T00:00:00"/>
    <s v="Štraitová Milada"/>
    <s v="Beky"/>
    <n v="1"/>
    <m/>
    <m/>
    <m/>
    <m/>
    <n v="1"/>
    <m/>
    <m/>
    <m/>
    <m/>
    <s v="Bratřice"/>
  </r>
  <r>
    <m/>
    <d v="2019-05-08T00:00:00"/>
    <s v="Urabetzová Renata"/>
    <s v="Abigail"/>
    <n v="1"/>
    <m/>
    <m/>
    <m/>
    <m/>
    <n v="1"/>
    <m/>
    <m/>
    <m/>
    <m/>
    <s v="Bratřice"/>
  </r>
  <r>
    <m/>
    <d v="2019-05-09T00:00:00"/>
    <s v="Kouřil Milan"/>
    <s v="Bessie + Mína"/>
    <n v="3"/>
    <m/>
    <m/>
    <m/>
    <m/>
    <n v="2"/>
    <m/>
    <n v="1"/>
    <m/>
    <m/>
    <s v="Velký Javorník, Jurkovičova, pramen Jičínky"/>
  </r>
  <r>
    <m/>
    <d v="2019-05-09T00:00:00"/>
    <s v="Krhovják Tomáš"/>
    <s v="Iber"/>
    <n v="2"/>
    <m/>
    <n v="2"/>
    <m/>
    <m/>
    <m/>
    <m/>
    <m/>
    <m/>
    <m/>
    <s v="NPP Park v Bílé Lhotě a Třesín"/>
  </r>
  <r>
    <m/>
    <d v="2019-05-10T00:00:00"/>
    <s v="Kouřil Milan"/>
    <s v="Bessie + Mína"/>
    <n v="9"/>
    <m/>
    <m/>
    <n v="2"/>
    <n v="7"/>
    <m/>
    <m/>
    <m/>
    <m/>
    <m/>
    <s v="NPR Kněhyně-Čertův mlýn,Radhošť,Malá Stolová, Kněhyně,Čertův mlýn,Radegast,Radhošť,Tanečnice Z,Tanečnice"/>
  </r>
  <r>
    <m/>
    <d v="2019-05-10T00:00:00"/>
    <s v="Vaňourková Dana"/>
    <s v="Bery"/>
    <n v="4"/>
    <m/>
    <m/>
    <m/>
    <n v="3"/>
    <n v="1"/>
    <m/>
    <m/>
    <m/>
    <m/>
    <s v="Klínovec + rozhledna, Meluzína, Macecha"/>
  </r>
  <r>
    <m/>
    <d v="2019-05-10T00:00:00"/>
    <s v="Krhovják Tomáš"/>
    <s v="Iber"/>
    <n v="2"/>
    <m/>
    <n v="1"/>
    <n v="1"/>
    <m/>
    <m/>
    <m/>
    <m/>
    <m/>
    <m/>
    <s v="NPP Zbrašovské aragonit.jeskyně, NPR Hůrka u Hr."/>
  </r>
  <r>
    <m/>
    <d v="2019-05-11T00:00:00"/>
    <s v="Minolová Jana"/>
    <s v="Chilli"/>
    <n v="1"/>
    <m/>
    <m/>
    <n v="1"/>
    <m/>
    <m/>
    <m/>
    <m/>
    <m/>
    <m/>
    <s v="NPR Vůznice"/>
  </r>
  <r>
    <m/>
    <d v="2019-05-11T00:00:00"/>
    <s v="Kalinová Jana"/>
    <s v="Bigi"/>
    <n v="1"/>
    <m/>
    <m/>
    <m/>
    <m/>
    <m/>
    <n v="1"/>
    <m/>
    <m/>
    <m/>
    <s v="soutok Sázavy a Konopišťského potoka"/>
  </r>
  <r>
    <m/>
    <d v="2019-05-11T00:00:00"/>
    <s v="Nedoma Radim"/>
    <s v="Čaky"/>
    <n v="3"/>
    <m/>
    <m/>
    <m/>
    <n v="3"/>
    <m/>
    <m/>
    <m/>
    <m/>
    <m/>
    <s v="Ropice, Smrčina, Slavíč"/>
  </r>
  <r>
    <m/>
    <d v="2019-05-11T00:00:00"/>
    <s v="Majerko Tomáš"/>
    <s v="Ax"/>
    <n v="2"/>
    <m/>
    <m/>
    <m/>
    <n v="1"/>
    <n v="1"/>
    <m/>
    <m/>
    <m/>
    <m/>
    <s v="Ještěd + rozhledna"/>
  </r>
  <r>
    <m/>
    <d v="2019-05-11T00:00:00"/>
    <s v="Vaňourková Dana"/>
    <s v="Bery"/>
    <n v="2"/>
    <m/>
    <n v="1"/>
    <n v="1"/>
    <m/>
    <m/>
    <m/>
    <m/>
    <m/>
    <m/>
    <s v="NPP Rašovické skály, NPR Úhošť"/>
  </r>
  <r>
    <m/>
    <d v="2019-05-11T00:00:00"/>
    <s v="Libenská Katka"/>
    <s v="Art"/>
    <n v="5"/>
    <m/>
    <n v="2"/>
    <n v="2"/>
    <m/>
    <n v="1"/>
    <m/>
    <m/>
    <m/>
    <m/>
    <s v="NPP Swamp a Jestřebické slatiny, NPR Břehyně a Velký a Malý Bezděz, Bezděz rozhl."/>
  </r>
  <r>
    <m/>
    <d v="2019-05-12T00:00:00"/>
    <s v="Minolová Jana"/>
    <s v="Chilli"/>
    <n v="3"/>
    <m/>
    <m/>
    <m/>
    <m/>
    <n v="3"/>
    <m/>
    <m/>
    <m/>
    <m/>
    <s v="Kotnov, Hýlačka, Babina"/>
  </r>
  <r>
    <m/>
    <d v="2019-05-12T00:00:00"/>
    <s v="Jareš Ondřej"/>
    <s v="Indy"/>
    <n v="4"/>
    <m/>
    <n v="1"/>
    <m/>
    <m/>
    <n v="3"/>
    <m/>
    <m/>
    <m/>
    <m/>
    <s v="NPP Semínský přesyp, Bára II, Kladruby n.L."/>
  </r>
  <r>
    <m/>
    <d v="2019-05-12T00:00:00"/>
    <s v="Majerko Tomáš"/>
    <s v="Ax"/>
    <n v="1"/>
    <m/>
    <m/>
    <m/>
    <m/>
    <n v="1"/>
    <m/>
    <m/>
    <m/>
    <m/>
    <s v="Hostýn"/>
  </r>
  <r>
    <m/>
    <d v="2019-05-12T00:00:00"/>
    <s v="Krhovják Tomáš"/>
    <s v="Iber"/>
    <n v="2"/>
    <m/>
    <n v="1"/>
    <m/>
    <m/>
    <n v="1"/>
    <m/>
    <m/>
    <m/>
    <m/>
    <s v="NPP Šipka, Štramberská trúba"/>
  </r>
  <r>
    <m/>
    <d v="2019-05-12T00:00:00"/>
    <s v="Libenská Katka"/>
    <s v="Art"/>
    <n v="4"/>
    <m/>
    <n v="3"/>
    <n v="1"/>
    <m/>
    <m/>
    <m/>
    <m/>
    <m/>
    <m/>
    <s v="NPP Klokočka, Rečkov, Peklo, NPR Novozámecký rybník"/>
  </r>
  <r>
    <m/>
    <d v="2019-05-14T00:00:00"/>
    <s v="Holubová Alena"/>
    <s v="Dřípatka"/>
    <n v="5"/>
    <n v="1"/>
    <m/>
    <m/>
    <n v="2"/>
    <n v="2"/>
    <m/>
    <m/>
    <m/>
    <m/>
    <s v="NP Krkonoše, Černá hora + rozhledna, Kleť + rozhledna"/>
  </r>
  <r>
    <m/>
    <d v="2019-05-14T00:00:00"/>
    <s v="Netrvalová Pavla"/>
    <s v="Matouš"/>
    <n v="6"/>
    <n v="1"/>
    <m/>
    <m/>
    <n v="1"/>
    <n v="4"/>
    <m/>
    <m/>
    <m/>
    <m/>
    <s v="NP Krkonoše, Černá hora + rozhledna,Stezka korunami stromů,Zlatá vyhlídka,Čížovka"/>
  </r>
  <r>
    <m/>
    <d v="2019-05-14T00:00:00"/>
    <s v="Laisková Monika"/>
    <s v="Bety + Mia"/>
    <n v="2"/>
    <m/>
    <m/>
    <m/>
    <n v="1"/>
    <n v="1"/>
    <m/>
    <m/>
    <m/>
    <m/>
    <s v="Kleť"/>
  </r>
  <r>
    <m/>
    <d v="2019-05-15T00:00:00"/>
    <s v="Pichová Alena"/>
    <s v="Baron"/>
    <n v="2"/>
    <m/>
    <m/>
    <m/>
    <m/>
    <n v="2"/>
    <m/>
    <m/>
    <m/>
    <m/>
    <s v="Kostelí Hlavno, Dneboh"/>
  </r>
  <r>
    <m/>
    <d v="2019-05-16T00:00:00"/>
    <s v="Pichová Alena"/>
    <s v="Baron"/>
    <n v="2"/>
    <m/>
    <m/>
    <n v="1"/>
    <n v="1"/>
    <m/>
    <m/>
    <m/>
    <m/>
    <m/>
    <s v="NPR Rašeliniště Jizerky, Bukovec"/>
  </r>
  <r>
    <m/>
    <d v="2019-05-17T00:00:00"/>
    <s v="Šindelář Pavel"/>
    <s v="Dea"/>
    <n v="5"/>
    <m/>
    <n v="1"/>
    <n v="3"/>
    <m/>
    <n v="1"/>
    <m/>
    <m/>
    <m/>
    <m/>
    <s v="NPP Kalendář věků,NPR  Děvín-Kotel,Křivé jezero,Tabulová, Kozí hrádek"/>
  </r>
  <r>
    <m/>
    <d v="2019-05-17T00:00:00"/>
    <s v="Drahošová Michala"/>
    <s v="Ema"/>
    <n v="1"/>
    <m/>
    <m/>
    <m/>
    <m/>
    <n v="1"/>
    <m/>
    <m/>
    <m/>
    <m/>
    <s v="Kratochvílova rozhl."/>
  </r>
  <r>
    <m/>
    <d v="2019-05-17T00:00:00"/>
    <s v="Pichová Alena"/>
    <s v="Baron"/>
    <n v="1"/>
    <m/>
    <m/>
    <m/>
    <n v="1"/>
    <m/>
    <m/>
    <m/>
    <m/>
    <m/>
    <s v="Černý vrch"/>
  </r>
  <r>
    <m/>
    <d v="2019-05-18T00:00:00"/>
    <s v="Netrvalová Pavla"/>
    <s v="Matouš"/>
    <n v="4"/>
    <m/>
    <n v="1"/>
    <n v="1"/>
    <m/>
    <n v="2"/>
    <m/>
    <m/>
    <m/>
    <m/>
    <s v="NPP Babiččino údolí, NPR Adršpašsko-teplické skály, Žernov,Eliška"/>
  </r>
  <r>
    <m/>
    <d v="2019-05-18T00:00:00"/>
    <s v="Kalinová Jana"/>
    <s v="Bigi"/>
    <n v="1"/>
    <m/>
    <m/>
    <m/>
    <m/>
    <n v="1"/>
    <m/>
    <m/>
    <m/>
    <m/>
    <s v="Bohdanka"/>
  </r>
  <r>
    <m/>
    <d v="2019-05-18T00:00:00"/>
    <s v="Šindelář Pavel"/>
    <s v="Dea"/>
    <n v="5"/>
    <m/>
    <n v="2"/>
    <n v="2"/>
    <m/>
    <m/>
    <n v="1"/>
    <m/>
    <m/>
    <m/>
    <s v="NPP Pastvinsko,Rendez-Vous,NPR Lednické rybníky, Slanisko u Nesytu, soutok Dyje a Trkmanky"/>
  </r>
  <r>
    <m/>
    <d v="2019-05-18T00:00:00"/>
    <s v="Minolová Jana"/>
    <s v="Chilli"/>
    <n v="4"/>
    <m/>
    <n v="1"/>
    <m/>
    <m/>
    <n v="2"/>
    <n v="1"/>
    <m/>
    <m/>
    <m/>
    <s v="NPP Bílé stráně, Na Kožichu, Mostka, soutok Labe a Ohře"/>
  </r>
  <r>
    <m/>
    <d v="2019-05-18T00:00:00"/>
    <s v="Pichová Alena"/>
    <s v="Baron"/>
    <n v="4"/>
    <n v="1"/>
    <m/>
    <m/>
    <m/>
    <n v="2"/>
    <n v="1"/>
    <m/>
    <m/>
    <m/>
    <s v="KRNAP, Štěpánka, Maják Járy Cimrmana,soutok Jizery a Mumlavy"/>
  </r>
  <r>
    <m/>
    <d v="2019-05-18T00:00:00"/>
    <s v="Poláková Radka"/>
    <s v="Bačí"/>
    <n v="1"/>
    <n v="1"/>
    <m/>
    <m/>
    <m/>
    <m/>
    <m/>
    <m/>
    <m/>
    <m/>
    <s v="NP Šumava"/>
  </r>
  <r>
    <m/>
    <d v="2019-05-19T00:00:00"/>
    <s v="Pechanová Hana"/>
    <s v="Denis"/>
    <n v="1"/>
    <m/>
    <m/>
    <m/>
    <m/>
    <m/>
    <n v="1"/>
    <m/>
    <m/>
    <m/>
    <s v="soutok Ploučnice a Panenského potoka"/>
  </r>
  <r>
    <m/>
    <d v="2019-05-19T00:00:00"/>
    <s v="Šindelář Pavel"/>
    <s v="Dea"/>
    <n v="4"/>
    <m/>
    <m/>
    <m/>
    <m/>
    <n v="3"/>
    <n v="1"/>
    <m/>
    <m/>
    <m/>
    <s v="Lednicje - Kolonáda, Minare, Český Šternberk, soutok Blanice a Sázavy"/>
  </r>
  <r>
    <m/>
    <d v="2019-05-19T00:00:00"/>
    <s v="Kouřil Milan"/>
    <s v="Bessie + Mína"/>
    <n v="7"/>
    <m/>
    <m/>
    <n v="2"/>
    <m/>
    <n v="2"/>
    <n v="3"/>
    <m/>
    <m/>
    <m/>
    <s v="NPR Karlštejn, Vůznice, Děd, Městská hora, soutok Berounky a Litavky+Loděnice+Vůznice"/>
  </r>
  <r>
    <m/>
    <d v="2019-05-19T00:00:00"/>
    <s v="Nedoma Radim"/>
    <s v="Čaky"/>
    <n v="2"/>
    <m/>
    <m/>
    <m/>
    <m/>
    <m/>
    <n v="2"/>
    <m/>
    <m/>
    <m/>
    <s v="pramen Ostravice, Morávky"/>
  </r>
  <r>
    <m/>
    <d v="2019-05-19T00:00:00"/>
    <s v="Weiterovi"/>
    <s v="Bara"/>
    <n v="5"/>
    <m/>
    <m/>
    <m/>
    <n v="4"/>
    <n v="1"/>
    <m/>
    <m/>
    <m/>
    <m/>
    <s v="Knížecí stolec + rozhl., Skalky, Uhlíkovský kopec, Suchá hora"/>
  </r>
  <r>
    <m/>
    <d v="2019-05-19T00:00:00"/>
    <s v="Lachmanová Fany"/>
    <s v="Rory"/>
    <n v="1"/>
    <m/>
    <m/>
    <m/>
    <m/>
    <n v="1"/>
    <m/>
    <m/>
    <m/>
    <m/>
    <s v="Kožích"/>
  </r>
  <r>
    <m/>
    <d v="2019-05-19T00:00:00"/>
    <s v="Krhovják Tomáš"/>
    <s v="Iber"/>
    <n v="5"/>
    <m/>
    <m/>
    <m/>
    <m/>
    <n v="5"/>
    <m/>
    <m/>
    <m/>
    <m/>
    <s v="Kozlovský kopec, Andrlův chlum, Mariánka, Lanšperk, Lázek"/>
  </r>
  <r>
    <m/>
    <d v="2019-05-19T00:00:00"/>
    <s v="Vaňourková Dana"/>
    <s v="Bery"/>
    <n v="1"/>
    <m/>
    <n v="1"/>
    <m/>
    <m/>
    <m/>
    <m/>
    <m/>
    <m/>
    <m/>
    <s v="NPP Holý vrch"/>
  </r>
  <r>
    <m/>
    <d v="2019-05-19T00:00:00"/>
    <s v="Pichová Alena"/>
    <s v="Baron"/>
    <n v="3"/>
    <m/>
    <m/>
    <m/>
    <n v="1"/>
    <n v="1"/>
    <m/>
    <n v="1"/>
    <m/>
    <m/>
    <s v="Na Kneipě, Na Čihladle, Smědá"/>
  </r>
  <r>
    <m/>
    <d v="2019-05-20T00:00:00"/>
    <s v="Pichová Alena"/>
    <s v="Baron"/>
    <n v="3"/>
    <m/>
    <m/>
    <n v="1"/>
    <m/>
    <m/>
    <n v="2"/>
    <m/>
    <m/>
    <m/>
    <s v="NPR Jizerské bukoviny, soutok Smědá a Velký Štolpich, Smědá a Lomnice"/>
  </r>
  <r>
    <m/>
    <d v="2019-05-21T00:00:00"/>
    <s v="Pichová Alena"/>
    <s v="Baron"/>
    <n v="1"/>
    <m/>
    <m/>
    <m/>
    <m/>
    <n v="1"/>
    <m/>
    <m/>
    <m/>
    <m/>
    <s v="Heřmanice"/>
  </r>
  <r>
    <m/>
    <d v="2019-05-23T00:00:00"/>
    <s v="Jareš Ondřej"/>
    <s v="Indy"/>
    <n v="3"/>
    <m/>
    <m/>
    <m/>
    <m/>
    <n v="2"/>
    <n v="1"/>
    <m/>
    <m/>
    <m/>
    <s v="Vodárna, Maják, soutok Loučné a Labe"/>
  </r>
  <r>
    <m/>
    <d v="2019-05-25T00:00:00"/>
    <s v="Netrvalová Pavla"/>
    <s v="Matouš"/>
    <n v="6"/>
    <m/>
    <n v="2"/>
    <m/>
    <m/>
    <n v="3"/>
    <n v="1"/>
    <m/>
    <m/>
    <m/>
    <s v="NPP Křížky a ´Úpolínová louka, Heřmanova huť, Třask, Krásenský vrch, soutok Teplé a Pramenského potoka"/>
  </r>
  <r>
    <m/>
    <d v="2019-05-25T00:00:00"/>
    <s v="Nedoma Radim"/>
    <s v="Čaky"/>
    <n v="7"/>
    <m/>
    <n v="1"/>
    <n v="1"/>
    <n v="2"/>
    <n v="1"/>
    <m/>
    <n v="2"/>
    <m/>
    <m/>
    <s v="NPP Praděd + vrchol + rozhledna, NPP Javorový vrch, Vysoká hole,pramen Moravice, Opavy"/>
  </r>
  <r>
    <m/>
    <d v="2019-05-25T00:00:00"/>
    <s v="Libenská Katka"/>
    <s v="Art"/>
    <n v="4"/>
    <m/>
    <n v="3"/>
    <m/>
    <m/>
    <n v="1"/>
    <m/>
    <m/>
    <m/>
    <m/>
    <s v="NPP Dalejský profil, Požáry, U Nového mlýna, Cibulka"/>
  </r>
  <r>
    <m/>
    <d v="2019-05-25T00:00:00"/>
    <s v="Minolová Jana"/>
    <s v="Chilli"/>
    <n v="2"/>
    <m/>
    <m/>
    <n v="1"/>
    <m/>
    <n v="1"/>
    <m/>
    <m/>
    <m/>
    <m/>
    <s v="NPR Voděradské bučiny, Skalka"/>
  </r>
  <r>
    <m/>
    <d v="2019-05-26T00:00:00"/>
    <s v="Šindelář Pavel"/>
    <s v="Dea"/>
    <n v="2"/>
    <m/>
    <m/>
    <m/>
    <m/>
    <n v="2"/>
    <m/>
    <m/>
    <m/>
    <m/>
    <s v="Na Skále, Šťastná věž"/>
  </r>
  <r>
    <m/>
    <d v="2019-05-26T00:00:00"/>
    <s v="Nedoma Radim"/>
    <s v="Čaky"/>
    <n v="13"/>
    <m/>
    <m/>
    <n v="1"/>
    <n v="6"/>
    <n v="5"/>
    <n v="1"/>
    <m/>
    <m/>
    <m/>
    <s v="NPR Rašeliniště Skřítek,Mravenečník,Dlouhé stráně,Vřesník,Velká jezera,Homole,Čepel,U Tetřeví chaty,Bukovka,Ježník(Vyhlídka), Cvilín,Strážiště (Hanse Kudlicha), soutok Opavy a Moravice"/>
  </r>
  <r>
    <m/>
    <d v="2019-05-26T00:00:00"/>
    <s v="Lachmanová Fany"/>
    <s v="Rory"/>
    <n v="1"/>
    <m/>
    <n v="1"/>
    <m/>
    <m/>
    <m/>
    <m/>
    <m/>
    <m/>
    <m/>
    <s v="NPP Dalejský profil"/>
  </r>
  <r>
    <m/>
    <d v="2019-05-26T00:00:00"/>
    <s v="Krhovják Tomáš"/>
    <s v="Iber"/>
    <n v="3"/>
    <m/>
    <n v="1"/>
    <n v="1"/>
    <m/>
    <n v="1"/>
    <m/>
    <m/>
    <m/>
    <m/>
    <s v="NPP Rudické propadání, NPR Vývěry Punkvy, Kopaninka"/>
  </r>
  <r>
    <m/>
    <d v="2019-05-27T00:00:00"/>
    <s v="Pechanová Hana"/>
    <s v="Denis"/>
    <n v="1"/>
    <m/>
    <m/>
    <m/>
    <m/>
    <n v="1"/>
    <m/>
    <m/>
    <m/>
    <m/>
    <s v="Ploučnická vyhlídka"/>
  </r>
  <r>
    <m/>
    <d v="2019-05-31T00:00:00"/>
    <s v="Pichová Alena"/>
    <s v="Baron"/>
    <n v="2"/>
    <m/>
    <n v="1"/>
    <m/>
    <m/>
    <m/>
    <n v="1"/>
    <m/>
    <m/>
    <m/>
    <s v="NPP Holý vrch, soutok Labe a Vltavy"/>
  </r>
  <r>
    <m/>
    <d v="2019-06-01T00:00:00"/>
    <s v="Vrkoč Ivan"/>
    <s v="Lája + Bianca"/>
    <n v="20"/>
    <n v="1"/>
    <m/>
    <m/>
    <n v="7"/>
    <n v="5"/>
    <n v="2"/>
    <n v="5"/>
    <m/>
    <m/>
    <s v="NP Šumava,Ždánov,Valy,Popelná,Churáňovský vrch,Homole,Výška,Přilba,Kašperk,Churáňov,Svatobor,Rabí,Sedlo u Sušice,soutok Otavy a Losenice a Ostružné,pramen:Spůlka,Losenice,Klabava,Skalice,Úslava"/>
  </r>
  <r>
    <m/>
    <d v="2019-06-01T00:00:00"/>
    <s v="Minolová Jana"/>
    <s v="Chilli"/>
    <n v="5"/>
    <m/>
    <m/>
    <m/>
    <n v="1"/>
    <n v="3"/>
    <n v="1"/>
    <m/>
    <m/>
    <m/>
    <s v="Kleť + rozhledna, DDM Modřany,Lahovické věže, soutok Vltavy a Berounky"/>
  </r>
  <r>
    <m/>
    <d v="2019-06-01T00:00:00"/>
    <s v="Nedoma Radim"/>
    <s v="Čaky"/>
    <n v="2"/>
    <m/>
    <m/>
    <m/>
    <m/>
    <n v="2"/>
    <m/>
    <m/>
    <m/>
    <m/>
    <s v="Suchý vrch, Anenský vrch"/>
  </r>
  <r>
    <m/>
    <d v="2019-06-01T00:00:00"/>
    <s v="Míka Marek"/>
    <s v="Holly"/>
    <n v="2"/>
    <m/>
    <m/>
    <m/>
    <m/>
    <n v="2"/>
    <m/>
    <m/>
    <m/>
    <m/>
    <s v="Suchý vrch, Anenský vrch"/>
  </r>
  <r>
    <m/>
    <d v="2019-06-01T00:00:00"/>
    <s v="Kalinová Jana"/>
    <s v="Bigi"/>
    <n v="1"/>
    <m/>
    <m/>
    <m/>
    <m/>
    <n v="1"/>
    <m/>
    <m/>
    <m/>
    <m/>
    <s v="Suchý vrch"/>
  </r>
  <r>
    <m/>
    <d v="2019-06-01T00:00:00"/>
    <s v="Rozdolská Dana "/>
    <s v="Cejlí"/>
    <n v="1"/>
    <m/>
    <m/>
    <m/>
    <m/>
    <n v="1"/>
    <m/>
    <m/>
    <m/>
    <m/>
    <s v="Suchý vrch"/>
  </r>
  <r>
    <m/>
    <d v="2019-06-02T00:00:00"/>
    <s v="Šindelář Pavel"/>
    <s v="Dea"/>
    <n v="6"/>
    <n v="1"/>
    <m/>
    <n v="2"/>
    <n v="3"/>
    <m/>
    <m/>
    <m/>
    <m/>
    <m/>
    <s v="NP Šumava, NPR Černé a Čertovo jezero, Bílá strž, Velký Ostrý, Velký Kokrháč, Svaroh"/>
  </r>
  <r>
    <m/>
    <d v="2019-06-02T00:00:00"/>
    <s v="Kouřil Milan"/>
    <s v="Bessie + Mína"/>
    <n v="12"/>
    <n v="1"/>
    <m/>
    <m/>
    <n v="5"/>
    <n v="3"/>
    <n v="2"/>
    <n v="1"/>
    <m/>
    <m/>
    <s v="NP Krkonoše,Lysá hora, Harrachovy kameny, Violík, Čertova hora, Janova skála, rozhl.Járy Cimrmana, Štěpánka,Tanvaldský Špičák soutok Mumlavy a Jizery, Desné a Kamenice, pramen Labe"/>
  </r>
  <r>
    <m/>
    <d v="2019-06-02T00:00:00"/>
    <s v="Libenská Katka"/>
    <s v="Art"/>
    <n v="3"/>
    <m/>
    <m/>
    <m/>
    <m/>
    <n v="2"/>
    <n v="1"/>
    <m/>
    <m/>
    <m/>
    <s v="Děd, Městská hora, soutok Litavky a Berounky"/>
  </r>
  <r>
    <m/>
    <d v="2019-06-02T00:00:00"/>
    <s v="Weiterovi"/>
    <s v="Bara"/>
    <n v="10"/>
    <n v="1"/>
    <n v="2"/>
    <m/>
    <n v="6"/>
    <m/>
    <m/>
    <n v="1"/>
    <m/>
    <m/>
    <s v="NP Šumava, NPP Prameniště Blanice, Blanice, Křemenná, Doupná hora, Na Skále,Na skalce, Rohanovský vrch, Větrný, pramen Zlatého potoka"/>
  </r>
  <r>
    <m/>
    <d v="2019-06-02T00:00:00"/>
    <s v="Krhovják Tomáš"/>
    <s v="Iber"/>
    <n v="5"/>
    <m/>
    <n v="3"/>
    <m/>
    <m/>
    <n v="1"/>
    <n v="1"/>
    <m/>
    <m/>
    <m/>
    <s v="NPP Kalendář věků, Pastvisko, Stránská skála, Dalibor - Zaječí, soutok Dyje - Trkmanka"/>
  </r>
  <r>
    <m/>
    <d v="2019-06-02T00:00:00"/>
    <s v="Pastuchová Martina"/>
    <s v="Bára"/>
    <n v="2"/>
    <m/>
    <m/>
    <n v="1"/>
    <m/>
    <n v="1"/>
    <m/>
    <m/>
    <m/>
    <m/>
    <s v="NPR Čantoria + rozhledna"/>
  </r>
  <r>
    <m/>
    <d v="2019-06-03T00:00:00"/>
    <s v="Vrkoč Ivan"/>
    <s v="Lája + Bianca"/>
    <n v="7"/>
    <m/>
    <n v="1"/>
    <m/>
    <n v="4"/>
    <n v="2"/>
    <m/>
    <m/>
    <m/>
    <m/>
    <s v="NPP Olšina, Jezerní vyhlídka, Stezka korunami stromů, Hvězda, Vlčí kámen, Špičák, Nad Hospodářnicí"/>
  </r>
  <r>
    <m/>
    <d v="2019-06-03T00:00:00"/>
    <s v="Jareš Ondřej"/>
    <s v="Indy"/>
    <n v="4"/>
    <m/>
    <m/>
    <m/>
    <m/>
    <n v="3"/>
    <m/>
    <n v="1"/>
    <m/>
    <m/>
    <s v="Hraniční vrch, Ježník, Strážnice u Liptaně, pramen Osoblahy"/>
  </r>
  <r>
    <m/>
    <d v="2019-06-04T00:00:00"/>
    <s v="Libenská Katka"/>
    <s v="Art"/>
    <n v="1"/>
    <m/>
    <m/>
    <m/>
    <m/>
    <n v="1"/>
    <m/>
    <m/>
    <m/>
    <m/>
    <s v="Háčkovaná"/>
  </r>
  <r>
    <m/>
    <d v="2019-06-04T00:00:00"/>
    <s v="Nedoma Radim"/>
    <s v="Čaky"/>
    <n v="7"/>
    <m/>
    <m/>
    <m/>
    <n v="7"/>
    <m/>
    <m/>
    <m/>
    <m/>
    <m/>
    <s v="U Kunštácké kaple,Tetřevec,Homole, Koruna, Jelenka, Velká Deštná, Malá Deštná"/>
  </r>
  <r>
    <m/>
    <d v="2019-06-04T00:00:00"/>
    <s v="Míka Marek"/>
    <s v="Holly"/>
    <n v="7"/>
    <m/>
    <m/>
    <m/>
    <n v="7"/>
    <m/>
    <m/>
    <m/>
    <m/>
    <m/>
    <s v="U Kunštácké kaple,Tetřevec,Homole, Koruna, Jelenka, Velká Deštná, Malá Deštná"/>
  </r>
  <r>
    <m/>
    <d v="2019-06-04T00:00:00"/>
    <s v="Kalinová Jana"/>
    <s v="Bigi"/>
    <n v="7"/>
    <m/>
    <m/>
    <m/>
    <n v="7"/>
    <m/>
    <m/>
    <m/>
    <m/>
    <m/>
    <s v="U Kunštácké kaple,Tetřevec,Homole, Koruna, Jelenka, Velká Deštná, Malá Deštná"/>
  </r>
  <r>
    <m/>
    <d v="2019-06-04T00:00:00"/>
    <s v="Rozdolská Dana "/>
    <s v="Cejlí"/>
    <n v="4"/>
    <m/>
    <m/>
    <m/>
    <n v="4"/>
    <m/>
    <m/>
    <m/>
    <m/>
    <m/>
    <s v="U Kunštácké kaple,Tetřevec,Homole, Malá Deštná"/>
  </r>
  <r>
    <m/>
    <d v="2019-06-05T00:00:00"/>
    <s v="Nedoma Radim"/>
    <s v="Čaky"/>
    <n v="5"/>
    <m/>
    <m/>
    <n v="1"/>
    <n v="2"/>
    <n v="1"/>
    <m/>
    <n v="1"/>
    <m/>
    <m/>
    <s v="NPR Bukačka, Šerlich, Vrchmezí, pramen Bělé, Pastýřka"/>
  </r>
  <r>
    <m/>
    <d v="2019-06-05T00:00:00"/>
    <s v="Míka Marek"/>
    <s v="Holly"/>
    <n v="4"/>
    <m/>
    <m/>
    <n v="1"/>
    <n v="2"/>
    <m/>
    <m/>
    <n v="1"/>
    <m/>
    <m/>
    <s v="NPR Bukačka, Šerlich, Vrchmezí, pramen Bělé"/>
  </r>
  <r>
    <m/>
    <d v="2019-06-05T00:00:00"/>
    <s v="Kalinová Jana"/>
    <s v="Bigi"/>
    <n v="4"/>
    <m/>
    <m/>
    <n v="1"/>
    <n v="2"/>
    <m/>
    <m/>
    <n v="1"/>
    <m/>
    <m/>
    <s v="NPR Bukačka, Šerlich, Vrchmezí, pramen Bělé"/>
  </r>
  <r>
    <m/>
    <d v="2019-06-05T00:00:00"/>
    <s v="Rozdolská Dana "/>
    <s v="Cejlí"/>
    <n v="4"/>
    <m/>
    <m/>
    <n v="1"/>
    <n v="2"/>
    <m/>
    <m/>
    <n v="1"/>
    <m/>
    <m/>
    <s v="NPR Bukačka, Šerlich, Vrchmezí, pramen Bělé"/>
  </r>
  <r>
    <m/>
    <d v="2019-06-06T00:00:00"/>
    <s v="Kučerová Iveta"/>
    <s v="Gimi"/>
    <n v="12"/>
    <m/>
    <m/>
    <m/>
    <m/>
    <n v="12"/>
    <m/>
    <m/>
    <m/>
    <m/>
    <s v="Andrlův chlum Varta, Litice n.Orl., Rozálka, Skuhrov, Kastel Vrbice, Na Signálu, Náchod, Rtyně, Nové Město nad Metují, Dobrošov, Žernov"/>
  </r>
  <r>
    <m/>
    <d v="2019-06-07T00:00:00"/>
    <s v="Kouřil Milan"/>
    <s v="Bessie + Mína"/>
    <n v="3"/>
    <m/>
    <n v="1"/>
    <n v="1"/>
    <m/>
    <n v="1"/>
    <m/>
    <m/>
    <m/>
    <m/>
    <s v="NPP Kaňkovy hory, NPR Lichnice, rozhl. Milada"/>
  </r>
  <r>
    <m/>
    <d v="2019-06-08T00:00:00"/>
    <s v="Drahošová Michala"/>
    <s v="Ema"/>
    <n v="1"/>
    <m/>
    <m/>
    <m/>
    <m/>
    <n v="1"/>
    <m/>
    <m/>
    <m/>
    <m/>
    <s v="Bramberk"/>
  </r>
  <r>
    <m/>
    <d v="2019-06-09T00:00:00"/>
    <s v="Kouřil Milan"/>
    <s v="Bessie + Mína"/>
    <n v="3"/>
    <m/>
    <m/>
    <m/>
    <m/>
    <n v="1"/>
    <n v="1"/>
    <m/>
    <m/>
    <n v="1"/>
    <s v="Blaník + rozhledna, soutok Blanice a Sázavy"/>
  </r>
  <r>
    <m/>
    <d v="2019-06-09T00:00:00"/>
    <s v="Šindelář Pavel"/>
    <s v="Dea"/>
    <n v="3"/>
    <m/>
    <m/>
    <m/>
    <m/>
    <n v="3"/>
    <m/>
    <m/>
    <m/>
    <m/>
    <s v="Koráb, Rýzmberk, Vachatova věž"/>
  </r>
  <r>
    <m/>
    <d v="2019-06-09T00:00:00"/>
    <s v="Vaňourková Dana"/>
    <s v="Bery"/>
    <n v="1"/>
    <m/>
    <n v="1"/>
    <m/>
    <m/>
    <m/>
    <m/>
    <m/>
    <m/>
    <m/>
    <s v="NPP Koda"/>
  </r>
  <r>
    <m/>
    <d v="2019-06-09T00:00:00"/>
    <s v="Kučerová Iveta"/>
    <s v="Gimi"/>
    <n v="2"/>
    <m/>
    <m/>
    <m/>
    <n v="1"/>
    <n v="1"/>
    <m/>
    <m/>
    <m/>
    <m/>
    <s v="Ještěd + rozhledna"/>
  </r>
  <r>
    <m/>
    <d v="2019-06-09T00:00:00"/>
    <s v="Libenská Katka"/>
    <s v="Art"/>
    <n v="2"/>
    <m/>
    <m/>
    <m/>
    <m/>
    <n v="1"/>
    <n v="1"/>
    <m/>
    <m/>
    <m/>
    <s v="Chlum, soutok Úslavy a Berounky"/>
  </r>
  <r>
    <m/>
    <d v="2019-06-09T00:00:00"/>
    <s v="Straka Richard"/>
    <s v="Hugo"/>
    <n v="2"/>
    <m/>
    <m/>
    <n v="1"/>
    <m/>
    <m/>
    <m/>
    <n v="1"/>
    <m/>
    <m/>
    <s v="NPR Žákova hora, pramen Svratky"/>
  </r>
  <r>
    <m/>
    <d v="2019-06-09T00:00:00"/>
    <s v="Netrvalová Pavla"/>
    <s v="Matouš"/>
    <n v="5"/>
    <m/>
    <n v="1"/>
    <m/>
    <m/>
    <n v="3"/>
    <n v="1"/>
    <m/>
    <m/>
    <m/>
    <s v="NPP Odlezelské jezero, Vysoká, Bohušův vrch, Chlum, soutok Berounky a Úslavy"/>
  </r>
  <r>
    <m/>
    <d v="2019-06-09T00:00:00"/>
    <s v="Krhovják Tomáš"/>
    <s v="Iber"/>
    <n v="2"/>
    <m/>
    <m/>
    <m/>
    <m/>
    <n v="1"/>
    <m/>
    <n v="1"/>
    <m/>
    <m/>
    <s v="Búřov, pramen Lubiny"/>
  </r>
  <r>
    <m/>
    <d v="2019-06-09T00:00:00"/>
    <s v="Minolová Jana"/>
    <s v="Chilli"/>
    <n v="6"/>
    <m/>
    <m/>
    <m/>
    <m/>
    <n v="4"/>
    <n v="2"/>
    <m/>
    <m/>
    <m/>
    <s v="Petřín - Jablonec, Slovanka, Královka, Tanvaldský Špičák, soutok Černé Desné a Kamenice a Bílé Desné"/>
  </r>
  <r>
    <m/>
    <d v="2019-06-10T00:00:00"/>
    <s v="Weiterovi"/>
    <s v="Bara"/>
    <n v="3"/>
    <m/>
    <m/>
    <n v="2"/>
    <m/>
    <n v="1"/>
    <m/>
    <m/>
    <m/>
    <m/>
    <s v="NPR ˇČervené Blato, NPR Brouskův mlýn, Archeopark Netolice"/>
  </r>
  <r>
    <m/>
    <d v="2019-06-12T00:00:00"/>
    <s v="Kouřil Milan"/>
    <s v="Bessie + Mína"/>
    <n v="3"/>
    <m/>
    <n v="1"/>
    <m/>
    <m/>
    <n v="1"/>
    <n v="1"/>
    <m/>
    <m/>
    <m/>
    <s v="NPP Landek,  + rozhledna, soutok Odry a Ostravice"/>
  </r>
  <r>
    <m/>
    <d v="2019-06-14T00:00:00"/>
    <s v="Štraitová Milada"/>
    <s v="Beky"/>
    <n v="3"/>
    <m/>
    <n v="1"/>
    <m/>
    <m/>
    <n v="2"/>
    <m/>
    <m/>
    <m/>
    <m/>
    <s v="NPP Mohelenská hadcová step, Babylon, Těžní věž Kukla"/>
  </r>
  <r>
    <m/>
    <d v="2019-06-14T00:00:00"/>
    <s v="Urabetzová Renata"/>
    <s v="Abigail"/>
    <n v="3"/>
    <m/>
    <n v="1"/>
    <m/>
    <m/>
    <n v="2"/>
    <m/>
    <m/>
    <m/>
    <m/>
    <s v="NPP Mohelenská hadcová step, Babylon, Těžní věž Kukla"/>
  </r>
  <r>
    <m/>
    <d v="2019-06-15T00:00:00"/>
    <s v="Šindelář Pavel"/>
    <s v="Dea"/>
    <n v="10"/>
    <m/>
    <m/>
    <m/>
    <n v="6"/>
    <n v="2"/>
    <m/>
    <n v="2"/>
    <m/>
    <m/>
    <s v="Malý Špičák, Špičák,Habr,Můstek,Jedclová,Pancíř,Špičák, Pančíř, pramen Úhlavy, Křemelné"/>
  </r>
  <r>
    <m/>
    <d v="2019-06-15T00:00:00"/>
    <s v="Nedoma Radim"/>
    <s v="Čaky"/>
    <n v="1"/>
    <m/>
    <m/>
    <m/>
    <m/>
    <m/>
    <n v="1"/>
    <m/>
    <m/>
    <m/>
    <s v="soutok Lubiny a Lomné"/>
  </r>
  <r>
    <m/>
    <d v="2019-06-15T00:00:00"/>
    <s v="Libenská Katka"/>
    <s v="Art"/>
    <n v="6"/>
    <m/>
    <n v="1"/>
    <n v="2"/>
    <m/>
    <n v="2"/>
    <m/>
    <n v="1"/>
    <m/>
    <m/>
    <s v="NPP Upolínová louka, NPR Tři křížky,Pluhův bor, Třasák,Krásenský vrch, pramen Střely"/>
  </r>
  <r>
    <m/>
    <d v="2019-06-15T00:00:00"/>
    <s v="Kalinová Jana"/>
    <s v="Bigi"/>
    <n v="2"/>
    <m/>
    <m/>
    <m/>
    <m/>
    <n v="1"/>
    <n v="1"/>
    <m/>
    <m/>
    <m/>
    <s v="hrad Lipnice, soutok Želivky a Trnávky"/>
  </r>
  <r>
    <m/>
    <d v="2019-06-18T00:00:00"/>
    <s v="Štraitová Milada"/>
    <s v="Beky"/>
    <n v="4"/>
    <m/>
    <m/>
    <m/>
    <m/>
    <n v="2"/>
    <n v="2"/>
    <m/>
    <m/>
    <m/>
    <s v="rozhl.Vl.Menšíka, Alfonse Muchy, soutok Jihlavy a Oslavy, a Rokytné"/>
  </r>
  <r>
    <m/>
    <d v="2019-06-18T00:00:00"/>
    <s v="Urabetzová Renata"/>
    <s v="Abigail"/>
    <n v="4"/>
    <m/>
    <m/>
    <m/>
    <m/>
    <n v="2"/>
    <n v="2"/>
    <m/>
    <m/>
    <m/>
    <s v="rozhl.Vl.Menšíka, Alfonse Muchy, soutok Jihlavy a Oslavy, a Rokytné"/>
  </r>
  <r>
    <m/>
    <d v="2019-06-20T00:00:00"/>
    <s v="Drahošová Michala"/>
    <s v="Ema"/>
    <n v="1"/>
    <m/>
    <m/>
    <m/>
    <m/>
    <n v="1"/>
    <m/>
    <m/>
    <m/>
    <m/>
    <s v="Vinice"/>
  </r>
  <r>
    <m/>
    <d v="2019-06-22T00:00:00"/>
    <s v="Vrkoč Ivan"/>
    <s v="Lája + Bianca"/>
    <n v="8"/>
    <m/>
    <m/>
    <n v="1"/>
    <m/>
    <n v="2"/>
    <n v="2"/>
    <n v="3"/>
    <m/>
    <m/>
    <s v="NPR Brouskův mlýn,Kupa, Radětice,soutok Lužnice a Židovy strouhy,Nežárky a Nové řeky,pramen Smutné, Kamenice , Židovy strouhy"/>
  </r>
  <r>
    <m/>
    <d v="2019-06-22T00:00:00"/>
    <s v="Kouřil Milan"/>
    <s v="Bessie + Mína"/>
    <n v="1"/>
    <m/>
    <n v="1"/>
    <m/>
    <m/>
    <m/>
    <m/>
    <m/>
    <m/>
    <m/>
    <s v="NPP Letiště Letňany"/>
  </r>
  <r>
    <m/>
    <d v="2019-06-22T00:00:00"/>
    <s v="Straka Richard"/>
    <s v="Hugo"/>
    <n v="1"/>
    <m/>
    <m/>
    <n v="1"/>
    <m/>
    <m/>
    <m/>
    <m/>
    <m/>
    <m/>
    <s v="NPR Stará a Nová řeka"/>
  </r>
  <r>
    <m/>
    <d v="2019-06-22T00:00:00"/>
    <s v="Nedoma Radim"/>
    <s v="Čaky"/>
    <n v="1"/>
    <m/>
    <m/>
    <m/>
    <n v="1"/>
    <m/>
    <m/>
    <m/>
    <m/>
    <m/>
    <s v="Malý Javorník"/>
  </r>
  <r>
    <m/>
    <d v="2019-06-22T00:00:00"/>
    <s v="Pastuchová Martina"/>
    <s v="Bára"/>
    <n v="1"/>
    <m/>
    <m/>
    <m/>
    <n v="1"/>
    <m/>
    <m/>
    <m/>
    <m/>
    <m/>
    <s v="Malý Javorník"/>
  </r>
  <r>
    <m/>
    <d v="2019-06-22T00:00:00"/>
    <s v="Pechanová Hana"/>
    <s v="Denis"/>
    <n v="1"/>
    <m/>
    <m/>
    <m/>
    <m/>
    <n v="1"/>
    <m/>
    <m/>
    <m/>
    <m/>
    <s v="Na Stráži"/>
  </r>
  <r>
    <m/>
    <d v="2019-06-23T00:00:00"/>
    <s v="Kalinová Jana"/>
    <s v="Bigi"/>
    <n v="7"/>
    <n v="1"/>
    <m/>
    <n v="1"/>
    <n v="2"/>
    <n v="2"/>
    <n v="1"/>
    <m/>
    <m/>
    <m/>
    <s v="KRNAP, NPR Rašeliniště Jizerky,Bukovec, Jizera, Štěpánka, Maják Járy Cimrmana,soutok Jizery a Mumlavy"/>
  </r>
  <r>
    <m/>
    <d v="2019-06-23T00:00:00"/>
    <s v="Libenská Katka"/>
    <s v="Art"/>
    <n v="10"/>
    <m/>
    <n v="1"/>
    <m/>
    <m/>
    <n v="8"/>
    <n v="1"/>
    <m/>
    <m/>
    <m/>
    <s v="NPP Barrandovské skály,Žižkovský vysílač, Mlíkárna, Barrandovské terasy,Petřín, Novomlýnská vodárenská věž, Astronomická věž Klementinum, Lahovický most, Komín, sutok Berouny a Vltavy"/>
  </r>
  <r>
    <m/>
    <d v="2019-06-23T00:00:00"/>
    <s v="Šindelář Pavel"/>
    <s v="Dea"/>
    <n v="2"/>
    <m/>
    <n v="1"/>
    <m/>
    <m/>
    <n v="1"/>
    <m/>
    <m/>
    <m/>
    <m/>
    <s v="NPP Vosek, Kotel"/>
  </r>
  <r>
    <m/>
    <d v="2019-06-23T00:00:00"/>
    <s v="Vrkoč Ivan"/>
    <s v="Lája + Bianca"/>
    <n v="14"/>
    <m/>
    <n v="2"/>
    <n v="1"/>
    <m/>
    <n v="4"/>
    <n v="2"/>
    <n v="5"/>
    <m/>
    <m/>
    <s v="NPP Hojkovské rašeliniště, NPP Luční,  NPR Velký Špičák, Křemešník, Rýdlův kopec, Hradní věž - JH, Oslednice, soutok Kamenice a žirovnice,Nežárka a Hamerský p., pramen Nežárka, Černovický p., Hamerský p. Jihlava, Moravské Dyje"/>
  </r>
  <r>
    <m/>
    <d v="2019-06-23T00:00:00"/>
    <s v="Weiterovi"/>
    <s v="Bara"/>
    <n v="4"/>
    <m/>
    <n v="1"/>
    <m/>
    <n v="3"/>
    <m/>
    <m/>
    <m/>
    <m/>
    <m/>
    <s v="NPP Olšina, Kapradinec - J vrchol, Nad hospodárnicí, Špičák"/>
  </r>
  <r>
    <m/>
    <d v="2019-06-28T00:00:00"/>
    <s v="Pastuchová Martina"/>
    <s v="Bára"/>
    <n v="2"/>
    <m/>
    <m/>
    <n v="1"/>
    <m/>
    <n v="1"/>
    <m/>
    <m/>
    <m/>
    <m/>
    <s v="NPR Polánecká niva, Ve věží"/>
  </r>
  <r>
    <m/>
    <d v="2019-06-29T00:00:00"/>
    <s v="Nedoma Radim"/>
    <s v="Čaky"/>
    <n v="3"/>
    <m/>
    <m/>
    <n v="1"/>
    <m/>
    <n v="2"/>
    <m/>
    <m/>
    <m/>
    <m/>
    <s v="NPR Čantoria + rozhledna , Soběšovice"/>
  </r>
  <r>
    <m/>
    <d v="2019-06-29T00:00:00"/>
    <s v="Drahošová Michala"/>
    <s v="Ema"/>
    <n v="1"/>
    <m/>
    <m/>
    <m/>
    <m/>
    <m/>
    <n v="1"/>
    <m/>
    <m/>
    <m/>
    <s v="soutok Labe a Jizery"/>
  </r>
  <r>
    <m/>
    <d v="2019-06-29T00:00:00"/>
    <s v="Šindelář Pavel"/>
    <s v="Dea"/>
    <n v="8"/>
    <m/>
    <m/>
    <m/>
    <n v="6"/>
    <n v="2"/>
    <m/>
    <m/>
    <m/>
    <m/>
    <s v="Tok, Zámecký les, Sklářský vrch, Polom, Prenet, Malý Prenet, Švihov, Klenová,"/>
  </r>
  <r>
    <m/>
    <d v="2019-06-29T00:00:00"/>
    <s v="Kouřil Milan"/>
    <s v="Bessie + Mína"/>
    <n v="3"/>
    <m/>
    <n v="1"/>
    <m/>
    <m/>
    <n v="1"/>
    <n v="1"/>
    <m/>
    <m/>
    <m/>
    <s v="NPP Medník, Pepř, soutok Vltavy a Sázavy"/>
  </r>
  <r>
    <m/>
    <d v="2019-06-29T00:00:00"/>
    <s v="Libenská Katka"/>
    <s v="Art"/>
    <n v="2"/>
    <m/>
    <m/>
    <m/>
    <m/>
    <n v="1"/>
    <n v="1"/>
    <m/>
    <m/>
    <m/>
    <s v="Heřmanova huť, soutok Uhlávky a Mže"/>
  </r>
  <r>
    <m/>
    <d v="2019-06-30T00:00:00"/>
    <s v="Drahošová Michala"/>
    <s v="Ema"/>
    <n v="2"/>
    <m/>
    <m/>
    <m/>
    <m/>
    <n v="2"/>
    <m/>
    <m/>
    <m/>
    <m/>
    <s v="Na Chlumu, Bára II"/>
  </r>
  <r>
    <m/>
    <d v="2019-06-30T00:00:00"/>
    <s v="Krhovják Tomáš"/>
    <s v="Iber"/>
    <n v="10"/>
    <n v="2"/>
    <m/>
    <n v="1"/>
    <m/>
    <n v="7"/>
    <m/>
    <m/>
    <m/>
    <m/>
    <s v="NP Šumava,Podyjí,NPR Tabulová, Kozí Hrádek-Mikulov, U Křížku, Jezerní slať, Soumarské rašeliniště, Kašperk, Stezka korunami stromů,Vojtěchov, "/>
  </r>
  <r>
    <m/>
    <d v="2019-06-30T00:00:00"/>
    <s v="Minolová Jana"/>
    <s v="Chilli"/>
    <n v="4"/>
    <m/>
    <n v="1"/>
    <m/>
    <m/>
    <n v="3"/>
    <m/>
    <m/>
    <m/>
    <m/>
    <s v="NPP Žehuňský rybník, Polní Chrčice, Bedřichova vyhlídka, Bára II"/>
  </r>
  <r>
    <m/>
    <d v="2019-07-03T00:00:00"/>
    <s v="Libenská Katka"/>
    <s v="Art"/>
    <n v="1"/>
    <m/>
    <m/>
    <m/>
    <m/>
    <n v="1"/>
    <m/>
    <m/>
    <m/>
    <m/>
    <s v="Doubravka"/>
  </r>
  <r>
    <m/>
    <d v="2019-07-04T00:00:00"/>
    <s v="Šindelář Pavel"/>
    <s v="Dea"/>
    <n v="3"/>
    <m/>
    <m/>
    <m/>
    <m/>
    <n v="2"/>
    <n v="1"/>
    <m/>
    <m/>
    <m/>
    <s v="Děd, Městská hora, soutok Litavky a Berounky"/>
  </r>
  <r>
    <m/>
    <d v="2019-07-05T00:00:00"/>
    <s v="Kalinová Jana"/>
    <s v="Bigi"/>
    <n v="2"/>
    <m/>
    <m/>
    <m/>
    <m/>
    <n v="1"/>
    <n v="1"/>
    <m/>
    <m/>
    <m/>
    <s v="Semenec, soutok Lužnice a Vltavy"/>
  </r>
  <r>
    <m/>
    <d v="2019-07-05T00:00:00"/>
    <s v="Libenská Katka"/>
    <s v="Art"/>
    <n v="6"/>
    <m/>
    <n v="1"/>
    <m/>
    <n v="4"/>
    <n v="1"/>
    <m/>
    <m/>
    <m/>
    <m/>
    <s v="NPP prameniště Blanice, Větrný, Doupná hora, Na Skále, Křemenná, Chanovice"/>
  </r>
  <r>
    <m/>
    <d v="2019-07-05T00:00:00"/>
    <s v="Šindelář Pavel"/>
    <s v="Dea"/>
    <n v="8"/>
    <m/>
    <m/>
    <m/>
    <n v="4"/>
    <n v="3"/>
    <n v="1"/>
    <m/>
    <m/>
    <m/>
    <s v="Javorník, Královský Kámen,Sv. Jan, Ždánov, Klostrmanova r.,Svatobor,Kašperk, souto Ostružné a Otavy"/>
  </r>
  <r>
    <m/>
    <d v="2019-07-05T00:00:00"/>
    <s v="Vlasákovi E + P"/>
    <s v="Bela"/>
    <n v="2"/>
    <m/>
    <m/>
    <m/>
    <m/>
    <n v="1"/>
    <m/>
    <m/>
    <n v="1"/>
    <m/>
    <s v="Máminka,Říp"/>
  </r>
  <r>
    <m/>
    <d v="2019-07-06T00:00:00"/>
    <s v="Nedoma Radim"/>
    <s v="Čaky"/>
    <n v="2"/>
    <m/>
    <m/>
    <m/>
    <n v="1"/>
    <n v="1"/>
    <m/>
    <m/>
    <m/>
    <m/>
    <s v="Ostrý, Kozubová"/>
  </r>
  <r>
    <m/>
    <d v="2019-07-06T00:00:00"/>
    <s v="Kučerová Iveta"/>
    <s v="Gimi"/>
    <n v="2"/>
    <m/>
    <n v="1"/>
    <m/>
    <m/>
    <n v="1"/>
    <m/>
    <m/>
    <m/>
    <m/>
    <s v="NPP Babiččino údolí, Zvičina"/>
  </r>
  <r>
    <m/>
    <d v="2019-07-06T00:00:00"/>
    <s v="Vrkoč Ivan"/>
    <s v="Lája + Bianca"/>
    <n v="3"/>
    <m/>
    <m/>
    <n v="1"/>
    <m/>
    <n v="1"/>
    <m/>
    <n v="1"/>
    <m/>
    <m/>
    <s v="NPR Žofínský prales,Hradišťský vrch,pramen Černé"/>
  </r>
  <r>
    <m/>
    <d v="2019-07-06T00:00:00"/>
    <s v="Jareš Ondřej"/>
    <s v="Indy"/>
    <n v="7"/>
    <m/>
    <m/>
    <m/>
    <m/>
    <n v="3"/>
    <n v="3"/>
    <n v="1"/>
    <m/>
    <m/>
    <s v="Lázek, Milář, Rozárka, soutok Moravské Sázavy a Březné, a Moravy,Orlice a Labe,pramen Opatovického kanálu"/>
  </r>
  <r>
    <m/>
    <d v="2019-07-06T00:00:00"/>
    <s v="Libenská Katka"/>
    <s v="Art"/>
    <n v="7"/>
    <m/>
    <n v="1"/>
    <m/>
    <n v="3"/>
    <n v="2"/>
    <m/>
    <n v="1"/>
    <m/>
    <m/>
    <s v="NPP Blanice, Libín,Na Skalce, Rohanovský vrch, Soumarský most, Libín, pramen Zlatého potoka"/>
  </r>
  <r>
    <m/>
    <d v="2019-07-06T00:00:00"/>
    <s v="Kouřil Milan"/>
    <s v="Bessie + Mína"/>
    <n v="15"/>
    <m/>
    <n v="1"/>
    <m/>
    <n v="11"/>
    <n v="2"/>
    <m/>
    <n v="1"/>
    <m/>
    <m/>
    <s v="NPP Bukačka, Šerlich, Polomský kopec, Vrchmezí, Pod Sedloňovým vrchem, Malá Deštná, Velká Deštná, Jelenka, Koruna, Homole, Tetřevec, U Kumštácké kaple, Anenský vrch, Tyršova rozhl., prameniště Bělé"/>
  </r>
  <r>
    <m/>
    <d v="2019-07-07T00:00:00"/>
    <s v="Šindelář Pavel"/>
    <s v="Dea"/>
    <n v="4"/>
    <m/>
    <n v="2"/>
    <n v="2"/>
    <m/>
    <m/>
    <m/>
    <m/>
    <m/>
    <m/>
    <s v="NPP Konk, Zlatý kůň, NPR Koda, Kotýz"/>
  </r>
  <r>
    <m/>
    <d v="2019-07-07T00:00:00"/>
    <s v="Míka Marek"/>
    <s v="Holly"/>
    <n v="3"/>
    <m/>
    <n v="1"/>
    <m/>
    <m/>
    <n v="1"/>
    <n v="1"/>
    <m/>
    <m/>
    <m/>
    <s v="NPP Hadce u Želivky, Babka, soutok Sázavy a Želivky"/>
  </r>
  <r>
    <m/>
    <d v="2019-07-07T00:00:00"/>
    <s v="Jareš Ondřej"/>
    <s v="Indy"/>
    <n v="3"/>
    <m/>
    <m/>
    <m/>
    <m/>
    <n v="1"/>
    <n v="2"/>
    <m/>
    <m/>
    <m/>
    <s v="soutok Klejnárky a Vrchlice, Orlice a Třebovky, Andrlův Chlum"/>
  </r>
  <r>
    <m/>
    <d v="2019-07-07T00:00:00"/>
    <s v="Netrvalová Pavla"/>
    <s v="Matouš"/>
    <n v="4"/>
    <m/>
    <m/>
    <m/>
    <m/>
    <n v="2"/>
    <n v="2"/>
    <m/>
    <m/>
    <m/>
    <s v="Břasy, Líně, soutok Berounky a Třemošné a Střely"/>
  </r>
  <r>
    <m/>
    <d v="2019-07-07T00:00:00"/>
    <s v="Libenská Katka"/>
    <s v="Art"/>
    <n v="11"/>
    <m/>
    <m/>
    <m/>
    <n v="5"/>
    <n v="3"/>
    <n v="2"/>
    <n v="1"/>
    <m/>
    <m/>
    <s v="Obrovec, Kamenná, Bukovec, Světlá hora, Mařský vrch, Čestice, Kbíl, Hoslovice, soutok Volyňka a Otava a Spůlky, pramen Volyňky"/>
  </r>
  <r>
    <m/>
    <d v="2019-07-07T00:00:00"/>
    <s v="Weiterovi"/>
    <s v="Bara"/>
    <n v="27"/>
    <m/>
    <n v="2"/>
    <n v="3"/>
    <n v="10"/>
    <n v="6"/>
    <n v="2"/>
    <n v="4"/>
    <m/>
    <m/>
    <s v="NPP Skalická Morávka, Landek, NPR Radhošť,Kněhyně, Mazák, Radhošť, Radegast Z vrchol, Radegast, Tanečnice Z vrchol, Tanečnice, Nořičí hora, Čertův mlýn, Malá Stolová, Vysoká, Lysá,Jurkovičova, Stezka Valašska,Velký Javorník, Čarták,Malá Prašivá, Landek, Č"/>
  </r>
  <r>
    <m/>
    <d v="2019-07-07T00:00:00"/>
    <s v="Krejčiříková Zuzana"/>
    <s v="Ctisl. + Bramína"/>
    <n v="3"/>
    <m/>
    <n v="1"/>
    <m/>
    <m/>
    <n v="2"/>
    <m/>
    <m/>
    <m/>
    <m/>
    <s v="NPP Chýnovské jeskyně, Pípalka, Hošťálkovice"/>
  </r>
  <r>
    <m/>
    <d v="2019-07-07T00:00:00"/>
    <s v="Krhovják Tomáš"/>
    <s v="Iber"/>
    <n v="4"/>
    <m/>
    <n v="1"/>
    <m/>
    <m/>
    <n v="3"/>
    <m/>
    <m/>
    <m/>
    <m/>
    <s v="NPP Velký Roudný, Hanse Kudlicha, Cvilín, Velký Roudný"/>
  </r>
  <r>
    <m/>
    <d v="2019-07-07T00:00:00"/>
    <s v="Pichová Alena"/>
    <s v="Baron"/>
    <n v="8"/>
    <m/>
    <n v="1"/>
    <m/>
    <n v="1"/>
    <n v="5"/>
    <n v="1"/>
    <m/>
    <m/>
    <m/>
    <s v="NPP Skalky skřítků, Hubertky, Pajndl, Bučina,Boží vyhlídka,Cibulka, Hard, soutok Ohře a Svatavy"/>
  </r>
  <r>
    <m/>
    <d v="2019-07-08T00:00:00"/>
    <s v="Pechanová Hana"/>
    <s v="Denis"/>
    <n v="5"/>
    <m/>
    <m/>
    <n v="1"/>
    <m/>
    <n v="2"/>
    <n v="1"/>
    <n v="1"/>
    <m/>
    <m/>
    <s v="NPR Rašeliniště Jizerky, Tanvaldský Špičák,Petříkn,  soutok Kamenice a Černé Desné, pramen Nisy"/>
  </r>
  <r>
    <m/>
    <d v="2019-07-09T00:00:00"/>
    <s v="Šindelář Pavel"/>
    <s v="Dea"/>
    <n v="1"/>
    <m/>
    <m/>
    <m/>
    <m/>
    <m/>
    <n v="1"/>
    <m/>
    <m/>
    <m/>
    <s v="soutok Merklínky a Radbuzy"/>
  </r>
  <r>
    <m/>
    <d v="2019-07-10T00:00:00"/>
    <s v="Pichová Alena"/>
    <s v="Baron"/>
    <n v="4"/>
    <m/>
    <m/>
    <m/>
    <n v="2"/>
    <n v="2"/>
    <m/>
    <m/>
    <m/>
    <m/>
    <s v="Dub, Vysoká Seč, Hasištejn, Málkov"/>
  </r>
  <r>
    <m/>
    <d v="2019-07-11T00:00:00"/>
    <s v="Netrvalová Pavla"/>
    <s v="Matouš"/>
    <n v="4"/>
    <m/>
    <m/>
    <m/>
    <m/>
    <n v="4"/>
    <m/>
    <m/>
    <m/>
    <m/>
    <s v="Vochlice, Krásný dvůr, Shillerova rozhl., Tobiášův vrch"/>
  </r>
  <r>
    <m/>
    <d v="2019-07-12T00:00:00"/>
    <s v="Libenská Katka"/>
    <s v="Art"/>
    <n v="5"/>
    <m/>
    <m/>
    <n v="1"/>
    <n v="2"/>
    <n v="2"/>
    <m/>
    <m/>
    <m/>
    <m/>
    <s v="NPR Božídarské rašeliniště, Blatenský vrch, Božídarský Špičák, Blatenský vrch, Boží vyhlídka"/>
  </r>
  <r>
    <m/>
    <d v="2019-07-13T00:00:00"/>
    <s v="Drahošová Michala"/>
    <s v="Ema"/>
    <n v="1"/>
    <m/>
    <m/>
    <m/>
    <m/>
    <n v="1"/>
    <m/>
    <m/>
    <m/>
    <m/>
    <s v="Borůvka"/>
  </r>
  <r>
    <m/>
    <d v="2019-07-13T00:00:00"/>
    <s v="Libenská Katka"/>
    <s v="Art"/>
    <n v="6"/>
    <m/>
    <m/>
    <m/>
    <n v="4"/>
    <n v="2"/>
    <m/>
    <m/>
    <m/>
    <m/>
    <s v="Macecha, Meluzína, Klínovec + rozhl., Plešivec + rozhl."/>
  </r>
  <r>
    <m/>
    <d v="2019-07-13T00:00:00"/>
    <s v="Pichová Alena"/>
    <s v="Baron"/>
    <n v="5"/>
    <m/>
    <n v="2"/>
    <m/>
    <m/>
    <n v="3"/>
    <m/>
    <m/>
    <m/>
    <m/>
    <s v="NPP Křížky a ´Úpolínová louka, Třasák, Vochlícká rozhld., Machova hor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n v="1"/>
    <m/>
    <m/>
    <m/>
    <m/>
    <n v="1"/>
    <m/>
    <m/>
    <m/>
    <m/>
  </r>
  <r>
    <x v="1"/>
    <x v="1"/>
    <n v="1"/>
    <m/>
    <m/>
    <m/>
    <m/>
    <n v="1"/>
    <m/>
    <m/>
    <m/>
    <m/>
  </r>
  <r>
    <x v="2"/>
    <x v="2"/>
    <n v="1"/>
    <m/>
    <m/>
    <m/>
    <n v="1"/>
    <m/>
    <m/>
    <m/>
    <m/>
    <m/>
  </r>
  <r>
    <x v="3"/>
    <x v="3"/>
    <n v="1"/>
    <m/>
    <n v="1"/>
    <m/>
    <m/>
    <m/>
    <m/>
    <m/>
    <m/>
    <m/>
  </r>
  <r>
    <x v="1"/>
    <x v="1"/>
    <n v="2"/>
    <m/>
    <n v="1"/>
    <m/>
    <m/>
    <n v="1"/>
    <m/>
    <m/>
    <m/>
    <m/>
  </r>
  <r>
    <x v="4"/>
    <x v="4"/>
    <n v="1"/>
    <m/>
    <m/>
    <n v="1"/>
    <m/>
    <m/>
    <m/>
    <m/>
    <m/>
    <m/>
  </r>
  <r>
    <x v="5"/>
    <x v="5"/>
    <n v="3"/>
    <m/>
    <n v="2"/>
    <n v="1"/>
    <m/>
    <m/>
    <m/>
    <m/>
    <m/>
    <m/>
  </r>
  <r>
    <x v="4"/>
    <x v="4"/>
    <n v="2"/>
    <n v="1"/>
    <m/>
    <m/>
    <m/>
    <n v="1"/>
    <m/>
    <m/>
    <m/>
    <m/>
  </r>
  <r>
    <x v="6"/>
    <x v="6"/>
    <n v="2"/>
    <m/>
    <m/>
    <m/>
    <n v="1"/>
    <n v="1"/>
    <m/>
    <m/>
    <m/>
    <m/>
  </r>
  <r>
    <x v="7"/>
    <x v="7"/>
    <n v="2"/>
    <m/>
    <m/>
    <m/>
    <n v="1"/>
    <n v="1"/>
    <m/>
    <m/>
    <m/>
    <m/>
  </r>
  <r>
    <x v="8"/>
    <x v="8"/>
    <n v="1"/>
    <m/>
    <m/>
    <m/>
    <n v="1"/>
    <m/>
    <m/>
    <m/>
    <m/>
    <m/>
  </r>
  <r>
    <x v="9"/>
    <x v="9"/>
    <n v="1"/>
    <m/>
    <m/>
    <m/>
    <m/>
    <n v="1"/>
    <m/>
    <m/>
    <m/>
    <m/>
  </r>
  <r>
    <x v="10"/>
    <x v="10"/>
    <n v="2"/>
    <m/>
    <m/>
    <m/>
    <n v="1"/>
    <n v="1"/>
    <m/>
    <m/>
    <m/>
    <m/>
  </r>
  <r>
    <x v="5"/>
    <x v="5"/>
    <n v="1"/>
    <m/>
    <n v="1"/>
    <m/>
    <m/>
    <m/>
    <m/>
    <m/>
    <m/>
    <m/>
  </r>
  <r>
    <x v="10"/>
    <x v="10"/>
    <n v="2"/>
    <m/>
    <m/>
    <m/>
    <m/>
    <n v="2"/>
    <m/>
    <m/>
    <m/>
    <m/>
  </r>
  <r>
    <x v="5"/>
    <x v="5"/>
    <n v="5"/>
    <m/>
    <n v="1"/>
    <n v="1"/>
    <m/>
    <n v="2"/>
    <n v="1"/>
    <m/>
    <m/>
    <m/>
  </r>
  <r>
    <x v="11"/>
    <x v="11"/>
    <n v="5"/>
    <m/>
    <n v="2"/>
    <n v="1"/>
    <m/>
    <n v="2"/>
    <m/>
    <m/>
    <m/>
    <m/>
  </r>
  <r>
    <x v="3"/>
    <x v="3"/>
    <n v="1"/>
    <m/>
    <m/>
    <m/>
    <m/>
    <n v="1"/>
    <m/>
    <m/>
    <m/>
    <m/>
  </r>
  <r>
    <x v="12"/>
    <x v="12"/>
    <n v="2"/>
    <m/>
    <m/>
    <m/>
    <n v="1"/>
    <n v="1"/>
    <m/>
    <m/>
    <m/>
    <m/>
  </r>
  <r>
    <x v="13"/>
    <x v="13"/>
    <n v="2"/>
    <m/>
    <m/>
    <m/>
    <m/>
    <n v="1"/>
    <m/>
    <m/>
    <m/>
    <n v="1"/>
  </r>
  <r>
    <x v="14"/>
    <x v="14"/>
    <n v="2"/>
    <m/>
    <m/>
    <m/>
    <m/>
    <n v="1"/>
    <m/>
    <m/>
    <m/>
    <n v="1"/>
  </r>
  <r>
    <x v="5"/>
    <x v="5"/>
    <n v="1"/>
    <m/>
    <m/>
    <m/>
    <m/>
    <n v="1"/>
    <m/>
    <m/>
    <m/>
    <m/>
  </r>
  <r>
    <x v="1"/>
    <x v="1"/>
    <n v="1"/>
    <m/>
    <m/>
    <m/>
    <m/>
    <n v="1"/>
    <m/>
    <m/>
    <m/>
    <m/>
  </r>
  <r>
    <x v="9"/>
    <x v="9"/>
    <n v="3"/>
    <m/>
    <m/>
    <m/>
    <m/>
    <n v="2"/>
    <m/>
    <n v="1"/>
    <m/>
    <m/>
  </r>
  <r>
    <x v="9"/>
    <x v="9"/>
    <n v="1"/>
    <m/>
    <m/>
    <m/>
    <m/>
    <n v="1"/>
    <m/>
    <m/>
    <m/>
    <m/>
  </r>
  <r>
    <x v="10"/>
    <x v="10"/>
    <n v="2"/>
    <m/>
    <m/>
    <n v="1"/>
    <m/>
    <n v="1"/>
    <m/>
    <m/>
    <m/>
    <m/>
  </r>
  <r>
    <x v="1"/>
    <x v="1"/>
    <n v="2"/>
    <m/>
    <m/>
    <n v="1"/>
    <n v="1"/>
    <m/>
    <m/>
    <m/>
    <m/>
    <m/>
  </r>
  <r>
    <x v="10"/>
    <x v="10"/>
    <n v="1"/>
    <m/>
    <m/>
    <m/>
    <m/>
    <m/>
    <n v="1"/>
    <m/>
    <m/>
    <m/>
  </r>
  <r>
    <x v="12"/>
    <x v="12"/>
    <n v="1"/>
    <m/>
    <m/>
    <m/>
    <m/>
    <m/>
    <n v="1"/>
    <m/>
    <m/>
    <m/>
  </r>
  <r>
    <x v="14"/>
    <x v="14"/>
    <n v="2"/>
    <m/>
    <m/>
    <m/>
    <m/>
    <n v="1"/>
    <n v="1"/>
    <m/>
    <m/>
    <m/>
  </r>
  <r>
    <x v="10"/>
    <x v="10"/>
    <n v="3"/>
    <m/>
    <m/>
    <m/>
    <m/>
    <n v="1"/>
    <n v="2"/>
    <m/>
    <m/>
    <m/>
  </r>
  <r>
    <x v="5"/>
    <x v="5"/>
    <n v="4"/>
    <m/>
    <n v="3"/>
    <m/>
    <m/>
    <n v="1"/>
    <m/>
    <m/>
    <m/>
    <m/>
  </r>
  <r>
    <x v="11"/>
    <x v="11"/>
    <n v="1"/>
    <m/>
    <m/>
    <n v="1"/>
    <m/>
    <m/>
    <m/>
    <m/>
    <m/>
    <m/>
  </r>
  <r>
    <x v="15"/>
    <x v="15"/>
    <n v="2"/>
    <m/>
    <m/>
    <m/>
    <m/>
    <n v="1"/>
    <n v="1"/>
    <m/>
    <m/>
    <m/>
  </r>
  <r>
    <x v="13"/>
    <x v="13"/>
    <n v="1"/>
    <m/>
    <m/>
    <m/>
    <m/>
    <n v="1"/>
    <m/>
    <m/>
    <m/>
    <m/>
  </r>
  <r>
    <x v="16"/>
    <x v="16"/>
    <n v="1"/>
    <m/>
    <m/>
    <m/>
    <m/>
    <n v="1"/>
    <m/>
    <m/>
    <m/>
    <m/>
  </r>
  <r>
    <x v="0"/>
    <x v="0"/>
    <n v="1"/>
    <m/>
    <m/>
    <n v="1"/>
    <m/>
    <m/>
    <m/>
    <m/>
    <m/>
    <m/>
  </r>
  <r>
    <x v="9"/>
    <x v="9"/>
    <n v="1"/>
    <m/>
    <m/>
    <m/>
    <m/>
    <n v="1"/>
    <m/>
    <m/>
    <m/>
    <m/>
  </r>
  <r>
    <x v="12"/>
    <x v="12"/>
    <n v="1"/>
    <m/>
    <m/>
    <m/>
    <m/>
    <n v="1"/>
    <m/>
    <m/>
    <m/>
    <m/>
  </r>
  <r>
    <x v="1"/>
    <x v="1"/>
    <n v="2"/>
    <m/>
    <m/>
    <n v="1"/>
    <m/>
    <n v="1"/>
    <m/>
    <m/>
    <m/>
    <m/>
  </r>
  <r>
    <x v="17"/>
    <x v="17"/>
    <n v="2"/>
    <m/>
    <m/>
    <m/>
    <n v="1"/>
    <n v="1"/>
    <m/>
    <m/>
    <m/>
    <m/>
  </r>
  <r>
    <x v="14"/>
    <x v="14"/>
    <n v="2"/>
    <m/>
    <m/>
    <m/>
    <m/>
    <n v="1"/>
    <n v="1"/>
    <m/>
    <m/>
    <m/>
  </r>
  <r>
    <x v="18"/>
    <x v="18"/>
    <n v="1"/>
    <m/>
    <m/>
    <m/>
    <m/>
    <n v="1"/>
    <m/>
    <m/>
    <m/>
    <m/>
  </r>
  <r>
    <x v="10"/>
    <x v="10"/>
    <n v="2"/>
    <m/>
    <m/>
    <m/>
    <n v="1"/>
    <n v="1"/>
    <m/>
    <m/>
    <m/>
    <m/>
  </r>
  <r>
    <x v="9"/>
    <x v="9"/>
    <n v="1"/>
    <m/>
    <m/>
    <m/>
    <m/>
    <n v="1"/>
    <m/>
    <m/>
    <m/>
    <m/>
  </r>
  <r>
    <x v="7"/>
    <x v="7"/>
    <n v="1"/>
    <m/>
    <m/>
    <m/>
    <m/>
    <n v="1"/>
    <m/>
    <m/>
    <m/>
    <m/>
  </r>
  <r>
    <x v="12"/>
    <x v="12"/>
    <n v="3"/>
    <m/>
    <m/>
    <n v="1"/>
    <m/>
    <n v="1"/>
    <n v="1"/>
    <m/>
    <m/>
    <m/>
  </r>
  <r>
    <x v="3"/>
    <x v="3"/>
    <n v="2"/>
    <m/>
    <m/>
    <m/>
    <m/>
    <m/>
    <n v="1"/>
    <m/>
    <n v="1"/>
    <m/>
  </r>
  <r>
    <x v="5"/>
    <x v="5"/>
    <n v="3"/>
    <m/>
    <m/>
    <n v="1"/>
    <m/>
    <n v="2"/>
    <m/>
    <m/>
    <m/>
    <m/>
  </r>
  <r>
    <x v="10"/>
    <x v="10"/>
    <n v="3"/>
    <m/>
    <m/>
    <n v="1"/>
    <m/>
    <n v="1"/>
    <n v="1"/>
    <m/>
    <m/>
    <m/>
  </r>
  <r>
    <x v="18"/>
    <x v="18"/>
    <n v="2"/>
    <m/>
    <m/>
    <m/>
    <m/>
    <n v="2"/>
    <m/>
    <m/>
    <m/>
    <m/>
  </r>
  <r>
    <x v="10"/>
    <x v="10"/>
    <n v="1"/>
    <m/>
    <m/>
    <m/>
    <m/>
    <n v="1"/>
    <m/>
    <m/>
    <m/>
    <m/>
  </r>
  <r>
    <x v="5"/>
    <x v="5"/>
    <n v="2"/>
    <m/>
    <m/>
    <m/>
    <m/>
    <n v="1"/>
    <n v="1"/>
    <m/>
    <m/>
    <m/>
  </r>
  <r>
    <x v="10"/>
    <x v="10"/>
    <n v="3"/>
    <m/>
    <m/>
    <m/>
    <m/>
    <n v="3"/>
    <m/>
    <m/>
    <m/>
    <m/>
  </r>
  <r>
    <x v="2"/>
    <x v="2"/>
    <n v="1"/>
    <m/>
    <m/>
    <m/>
    <n v="1"/>
    <m/>
    <m/>
    <m/>
    <m/>
    <m/>
  </r>
  <r>
    <x v="14"/>
    <x v="14"/>
    <n v="1"/>
    <m/>
    <m/>
    <m/>
    <m/>
    <n v="1"/>
    <m/>
    <m/>
    <m/>
    <m/>
  </r>
  <r>
    <x v="5"/>
    <x v="5"/>
    <n v="3"/>
    <m/>
    <n v="1"/>
    <m/>
    <m/>
    <n v="2"/>
    <m/>
    <m/>
    <m/>
    <m/>
  </r>
  <r>
    <x v="11"/>
    <x v="11"/>
    <n v="2"/>
    <m/>
    <m/>
    <m/>
    <m/>
    <n v="2"/>
    <m/>
    <m/>
    <m/>
    <m/>
  </r>
  <r>
    <x v="9"/>
    <x v="9"/>
    <n v="1"/>
    <m/>
    <m/>
    <m/>
    <m/>
    <n v="1"/>
    <m/>
    <m/>
    <m/>
    <m/>
  </r>
  <r>
    <x v="12"/>
    <x v="12"/>
    <n v="1"/>
    <m/>
    <m/>
    <m/>
    <m/>
    <m/>
    <m/>
    <n v="1"/>
    <m/>
    <m/>
  </r>
  <r>
    <x v="16"/>
    <x v="16"/>
    <n v="1"/>
    <m/>
    <m/>
    <m/>
    <m/>
    <n v="1"/>
    <m/>
    <m/>
    <m/>
    <m/>
  </r>
  <r>
    <x v="0"/>
    <x v="0"/>
    <n v="1"/>
    <m/>
    <m/>
    <m/>
    <m/>
    <n v="1"/>
    <m/>
    <m/>
    <m/>
    <m/>
  </r>
  <r>
    <x v="5"/>
    <x v="5"/>
    <n v="1"/>
    <m/>
    <m/>
    <m/>
    <m/>
    <n v="1"/>
    <m/>
    <m/>
    <m/>
    <m/>
  </r>
  <r>
    <x v="16"/>
    <x v="16"/>
    <n v="1"/>
    <m/>
    <m/>
    <m/>
    <m/>
    <n v="1"/>
    <m/>
    <m/>
    <m/>
    <m/>
  </r>
  <r>
    <x v="0"/>
    <x v="0"/>
    <n v="1"/>
    <m/>
    <m/>
    <m/>
    <m/>
    <n v="1"/>
    <m/>
    <m/>
    <m/>
    <m/>
  </r>
  <r>
    <x v="5"/>
    <x v="5"/>
    <n v="1"/>
    <m/>
    <m/>
    <m/>
    <m/>
    <n v="1"/>
    <m/>
    <m/>
    <m/>
    <m/>
  </r>
  <r>
    <x v="9"/>
    <x v="9"/>
    <n v="2"/>
    <m/>
    <m/>
    <n v="1"/>
    <m/>
    <n v="1"/>
    <m/>
    <m/>
    <m/>
    <m/>
  </r>
  <r>
    <x v="1"/>
    <x v="1"/>
    <n v="2"/>
    <m/>
    <m/>
    <m/>
    <m/>
    <n v="2"/>
    <m/>
    <m/>
    <m/>
    <m/>
  </r>
  <r>
    <x v="1"/>
    <x v="1"/>
    <n v="1"/>
    <m/>
    <m/>
    <m/>
    <m/>
    <n v="1"/>
    <m/>
    <m/>
    <m/>
    <m/>
  </r>
  <r>
    <x v="14"/>
    <x v="14"/>
    <n v="1"/>
    <m/>
    <m/>
    <m/>
    <m/>
    <n v="1"/>
    <m/>
    <m/>
    <m/>
    <m/>
  </r>
  <r>
    <x v="5"/>
    <x v="5"/>
    <n v="2"/>
    <m/>
    <m/>
    <m/>
    <m/>
    <n v="2"/>
    <m/>
    <m/>
    <m/>
    <m/>
  </r>
  <r>
    <x v="10"/>
    <x v="10"/>
    <n v="3"/>
    <m/>
    <m/>
    <n v="1"/>
    <n v="1"/>
    <n v="1"/>
    <m/>
    <m/>
    <m/>
    <m/>
  </r>
  <r>
    <x v="12"/>
    <x v="12"/>
    <n v="2"/>
    <m/>
    <m/>
    <m/>
    <m/>
    <n v="1"/>
    <n v="1"/>
    <m/>
    <m/>
    <m/>
  </r>
  <r>
    <x v="14"/>
    <x v="14"/>
    <n v="2"/>
    <m/>
    <m/>
    <m/>
    <m/>
    <n v="2"/>
    <m/>
    <m/>
    <m/>
    <m/>
  </r>
  <r>
    <x v="15"/>
    <x v="15"/>
    <n v="1"/>
    <m/>
    <m/>
    <m/>
    <m/>
    <n v="1"/>
    <m/>
    <m/>
    <m/>
    <m/>
  </r>
  <r>
    <x v="1"/>
    <x v="1"/>
    <n v="6"/>
    <m/>
    <m/>
    <n v="1"/>
    <n v="1"/>
    <n v="2"/>
    <m/>
    <n v="2"/>
    <m/>
    <m/>
  </r>
  <r>
    <x v="16"/>
    <x v="16"/>
    <n v="2"/>
    <m/>
    <m/>
    <m/>
    <m/>
    <n v="1"/>
    <n v="1"/>
    <m/>
    <m/>
    <m/>
  </r>
  <r>
    <x v="10"/>
    <x v="10"/>
    <n v="5"/>
    <m/>
    <n v="1"/>
    <m/>
    <m/>
    <n v="4"/>
    <m/>
    <m/>
    <m/>
    <m/>
  </r>
  <r>
    <x v="6"/>
    <x v="6"/>
    <n v="2"/>
    <m/>
    <m/>
    <m/>
    <m/>
    <n v="2"/>
    <m/>
    <m/>
    <m/>
    <m/>
  </r>
  <r>
    <x v="7"/>
    <x v="7"/>
    <n v="2"/>
    <m/>
    <m/>
    <m/>
    <m/>
    <n v="2"/>
    <m/>
    <m/>
    <m/>
    <m/>
  </r>
  <r>
    <x v="5"/>
    <x v="5"/>
    <n v="4"/>
    <m/>
    <m/>
    <m/>
    <m/>
    <n v="4"/>
    <m/>
    <m/>
    <m/>
    <m/>
  </r>
  <r>
    <x v="9"/>
    <x v="9"/>
    <n v="1"/>
    <m/>
    <n v="1"/>
    <m/>
    <m/>
    <m/>
    <m/>
    <m/>
    <m/>
    <m/>
  </r>
  <r>
    <x v="11"/>
    <x v="11"/>
    <n v="3"/>
    <m/>
    <n v="1"/>
    <n v="1"/>
    <m/>
    <n v="1"/>
    <m/>
    <m/>
    <m/>
    <m/>
  </r>
  <r>
    <x v="19"/>
    <x v="19"/>
    <n v="1"/>
    <m/>
    <m/>
    <m/>
    <m/>
    <m/>
    <m/>
    <m/>
    <n v="1"/>
    <m/>
  </r>
  <r>
    <x v="20"/>
    <x v="20"/>
    <n v="1"/>
    <m/>
    <m/>
    <m/>
    <m/>
    <n v="1"/>
    <m/>
    <m/>
    <m/>
    <m/>
  </r>
  <r>
    <x v="10"/>
    <x v="10"/>
    <n v="6"/>
    <m/>
    <m/>
    <m/>
    <n v="3"/>
    <n v="3"/>
    <m/>
    <m/>
    <m/>
    <m/>
  </r>
  <r>
    <x v="20"/>
    <x v="20"/>
    <n v="1"/>
    <m/>
    <m/>
    <m/>
    <m/>
    <n v="1"/>
    <m/>
    <m/>
    <m/>
    <m/>
  </r>
  <r>
    <x v="20"/>
    <x v="20"/>
    <n v="1"/>
    <m/>
    <m/>
    <m/>
    <m/>
    <n v="1"/>
    <m/>
    <m/>
    <m/>
    <m/>
  </r>
  <r>
    <x v="21"/>
    <x v="21"/>
    <n v="1"/>
    <m/>
    <m/>
    <m/>
    <m/>
    <n v="1"/>
    <m/>
    <m/>
    <m/>
    <m/>
  </r>
  <r>
    <x v="16"/>
    <x v="16"/>
    <n v="1"/>
    <m/>
    <m/>
    <n v="1"/>
    <m/>
    <m/>
    <m/>
    <m/>
    <m/>
    <m/>
  </r>
  <r>
    <x v="1"/>
    <x v="1"/>
    <n v="3"/>
    <m/>
    <m/>
    <n v="2"/>
    <m/>
    <n v="1"/>
    <m/>
    <m/>
    <m/>
    <m/>
  </r>
  <r>
    <x v="10"/>
    <x v="10"/>
    <n v="5"/>
    <m/>
    <m/>
    <m/>
    <n v="3"/>
    <n v="2"/>
    <m/>
    <m/>
    <m/>
    <m/>
  </r>
  <r>
    <x v="12"/>
    <x v="12"/>
    <n v="2"/>
    <m/>
    <m/>
    <n v="1"/>
    <m/>
    <n v="1"/>
    <m/>
    <m/>
    <m/>
    <m/>
  </r>
  <r>
    <x v="8"/>
    <x v="8"/>
    <n v="2"/>
    <m/>
    <m/>
    <m/>
    <n v="1"/>
    <n v="1"/>
    <m/>
    <m/>
    <m/>
    <m/>
  </r>
  <r>
    <x v="22"/>
    <x v="22"/>
    <n v="1"/>
    <m/>
    <m/>
    <m/>
    <m/>
    <n v="1"/>
    <m/>
    <m/>
    <m/>
    <m/>
  </r>
  <r>
    <x v="1"/>
    <x v="1"/>
    <n v="7"/>
    <m/>
    <m/>
    <m/>
    <n v="7"/>
    <m/>
    <m/>
    <m/>
    <m/>
    <m/>
  </r>
  <r>
    <x v="18"/>
    <x v="18"/>
    <n v="1"/>
    <m/>
    <m/>
    <m/>
    <m/>
    <n v="1"/>
    <m/>
    <m/>
    <m/>
    <m/>
  </r>
  <r>
    <x v="14"/>
    <x v="14"/>
    <n v="2"/>
    <m/>
    <m/>
    <m/>
    <m/>
    <n v="2"/>
    <m/>
    <m/>
    <m/>
    <m/>
  </r>
  <r>
    <x v="13"/>
    <x v="13"/>
    <n v="2"/>
    <m/>
    <m/>
    <m/>
    <m/>
    <n v="2"/>
    <m/>
    <m/>
    <m/>
    <m/>
  </r>
  <r>
    <x v="5"/>
    <x v="5"/>
    <n v="2"/>
    <m/>
    <n v="1"/>
    <m/>
    <m/>
    <n v="1"/>
    <m/>
    <m/>
    <m/>
    <m/>
  </r>
  <r>
    <x v="11"/>
    <x v="11"/>
    <n v="3"/>
    <m/>
    <n v="1"/>
    <m/>
    <m/>
    <n v="2"/>
    <m/>
    <m/>
    <m/>
    <m/>
  </r>
  <r>
    <x v="1"/>
    <x v="1"/>
    <n v="1"/>
    <m/>
    <m/>
    <m/>
    <m/>
    <n v="1"/>
    <m/>
    <m/>
    <m/>
    <m/>
  </r>
  <r>
    <x v="2"/>
    <x v="2"/>
    <n v="1"/>
    <m/>
    <m/>
    <m/>
    <m/>
    <n v="1"/>
    <m/>
    <m/>
    <m/>
    <m/>
  </r>
  <r>
    <x v="20"/>
    <x v="20"/>
    <n v="3"/>
    <m/>
    <n v="3"/>
    <m/>
    <m/>
    <m/>
    <m/>
    <m/>
    <m/>
    <m/>
  </r>
  <r>
    <x v="2"/>
    <x v="2"/>
    <n v="3"/>
    <m/>
    <m/>
    <m/>
    <n v="3"/>
    <m/>
    <m/>
    <m/>
    <m/>
    <m/>
  </r>
  <r>
    <x v="5"/>
    <x v="5"/>
    <n v="1"/>
    <m/>
    <m/>
    <m/>
    <m/>
    <m/>
    <n v="1"/>
    <m/>
    <m/>
    <m/>
  </r>
  <r>
    <x v="22"/>
    <x v="22"/>
    <n v="1"/>
    <m/>
    <m/>
    <m/>
    <m/>
    <n v="1"/>
    <m/>
    <m/>
    <m/>
    <m/>
  </r>
  <r>
    <x v="9"/>
    <x v="9"/>
    <n v="5"/>
    <m/>
    <m/>
    <m/>
    <m/>
    <n v="5"/>
    <m/>
    <m/>
    <m/>
    <m/>
  </r>
  <r>
    <x v="23"/>
    <x v="23"/>
    <n v="1"/>
    <m/>
    <n v="1"/>
    <m/>
    <m/>
    <m/>
    <m/>
    <m/>
    <m/>
    <m/>
  </r>
  <r>
    <x v="9"/>
    <x v="9"/>
    <n v="4"/>
    <m/>
    <m/>
    <n v="1"/>
    <m/>
    <n v="3"/>
    <m/>
    <m/>
    <m/>
    <m/>
  </r>
  <r>
    <x v="0"/>
    <x v="0"/>
    <n v="2"/>
    <m/>
    <n v="1"/>
    <n v="1"/>
    <m/>
    <m/>
    <m/>
    <m/>
    <m/>
    <m/>
  </r>
  <r>
    <x v="11"/>
    <x v="11"/>
    <n v="2"/>
    <m/>
    <n v="1"/>
    <n v="1"/>
    <m/>
    <m/>
    <m/>
    <m/>
    <m/>
    <m/>
  </r>
  <r>
    <x v="24"/>
    <x v="24"/>
    <n v="1"/>
    <m/>
    <m/>
    <m/>
    <m/>
    <n v="1"/>
    <m/>
    <m/>
    <m/>
    <m/>
  </r>
  <r>
    <x v="20"/>
    <x v="20"/>
    <n v="3"/>
    <m/>
    <n v="1"/>
    <m/>
    <m/>
    <n v="1"/>
    <n v="1"/>
    <m/>
    <m/>
    <m/>
  </r>
  <r>
    <x v="2"/>
    <x v="2"/>
    <n v="5"/>
    <m/>
    <m/>
    <n v="1"/>
    <n v="4"/>
    <m/>
    <m/>
    <m/>
    <m/>
    <m/>
  </r>
  <r>
    <x v="2"/>
    <x v="2"/>
    <n v="4"/>
    <m/>
    <m/>
    <m/>
    <n v="3"/>
    <n v="1"/>
    <m/>
    <m/>
    <m/>
    <m/>
  </r>
  <r>
    <x v="13"/>
    <x v="13"/>
    <n v="1"/>
    <m/>
    <m/>
    <n v="1"/>
    <m/>
    <m/>
    <m/>
    <m/>
    <m/>
    <m/>
  </r>
  <r>
    <x v="1"/>
    <x v="1"/>
    <n v="1"/>
    <m/>
    <m/>
    <m/>
    <m/>
    <n v="1"/>
    <m/>
    <m/>
    <m/>
    <m/>
  </r>
  <r>
    <x v="25"/>
    <x v="25"/>
    <n v="1"/>
    <m/>
    <m/>
    <m/>
    <m/>
    <n v="1"/>
    <m/>
    <m/>
    <m/>
    <m/>
  </r>
  <r>
    <x v="5"/>
    <x v="5"/>
    <n v="2"/>
    <m/>
    <n v="1"/>
    <n v="1"/>
    <m/>
    <m/>
    <m/>
    <m/>
    <m/>
    <m/>
  </r>
  <r>
    <x v="26"/>
    <x v="26"/>
    <n v="1"/>
    <m/>
    <n v="1"/>
    <m/>
    <m/>
    <m/>
    <m/>
    <m/>
    <m/>
    <m/>
  </r>
  <r>
    <x v="22"/>
    <x v="22"/>
    <n v="1"/>
    <m/>
    <m/>
    <m/>
    <m/>
    <n v="1"/>
    <m/>
    <m/>
    <m/>
    <m/>
  </r>
  <r>
    <x v="27"/>
    <x v="27"/>
    <n v="1"/>
    <m/>
    <m/>
    <m/>
    <m/>
    <m/>
    <n v="1"/>
    <m/>
    <m/>
    <m/>
  </r>
  <r>
    <x v="16"/>
    <x v="16"/>
    <n v="2"/>
    <m/>
    <m/>
    <m/>
    <m/>
    <m/>
    <n v="1"/>
    <n v="1"/>
    <m/>
    <m/>
  </r>
  <r>
    <x v="1"/>
    <x v="1"/>
    <n v="5"/>
    <m/>
    <m/>
    <m/>
    <m/>
    <n v="2"/>
    <n v="3"/>
    <m/>
    <m/>
    <m/>
  </r>
  <r>
    <x v="1"/>
    <x v="1"/>
    <n v="2"/>
    <m/>
    <n v="1"/>
    <n v="1"/>
    <m/>
    <m/>
    <m/>
    <m/>
    <m/>
    <m/>
  </r>
  <r>
    <x v="10"/>
    <x v="10"/>
    <n v="6"/>
    <m/>
    <n v="1"/>
    <m/>
    <m/>
    <n v="4"/>
    <n v="1"/>
    <m/>
    <m/>
    <m/>
  </r>
  <r>
    <x v="3"/>
    <x v="3"/>
    <n v="1"/>
    <m/>
    <m/>
    <m/>
    <m/>
    <n v="1"/>
    <m/>
    <m/>
    <m/>
    <m/>
  </r>
  <r>
    <x v="1"/>
    <x v="1"/>
    <n v="2"/>
    <m/>
    <n v="1"/>
    <m/>
    <m/>
    <m/>
    <n v="1"/>
    <m/>
    <m/>
    <m/>
  </r>
  <r>
    <x v="5"/>
    <x v="5"/>
    <n v="3"/>
    <m/>
    <m/>
    <n v="2"/>
    <m/>
    <m/>
    <n v="1"/>
    <m/>
    <m/>
    <m/>
  </r>
  <r>
    <x v="2"/>
    <x v="2"/>
    <n v="4"/>
    <m/>
    <n v="1"/>
    <m/>
    <m/>
    <n v="3"/>
    <m/>
    <m/>
    <m/>
    <m/>
  </r>
  <r>
    <x v="0"/>
    <x v="0"/>
    <n v="1"/>
    <n v="1"/>
    <m/>
    <m/>
    <m/>
    <m/>
    <m/>
    <m/>
    <m/>
    <m/>
  </r>
  <r>
    <x v="10"/>
    <x v="10"/>
    <n v="4"/>
    <m/>
    <m/>
    <m/>
    <m/>
    <n v="1"/>
    <n v="3"/>
    <m/>
    <m/>
    <m/>
  </r>
  <r>
    <x v="2"/>
    <x v="2"/>
    <n v="1"/>
    <m/>
    <m/>
    <m/>
    <m/>
    <n v="1"/>
    <m/>
    <m/>
    <m/>
    <m/>
  </r>
  <r>
    <x v="5"/>
    <x v="5"/>
    <n v="3"/>
    <m/>
    <n v="1"/>
    <m/>
    <m/>
    <n v="2"/>
    <m/>
    <m/>
    <m/>
    <m/>
  </r>
  <r>
    <x v="28"/>
    <x v="28"/>
    <n v="1"/>
    <m/>
    <m/>
    <m/>
    <m/>
    <m/>
    <m/>
    <n v="1"/>
    <m/>
    <m/>
  </r>
  <r>
    <x v="18"/>
    <x v="18"/>
    <n v="1"/>
    <m/>
    <m/>
    <m/>
    <m/>
    <m/>
    <n v="1"/>
    <m/>
    <m/>
    <m/>
  </r>
  <r>
    <x v="5"/>
    <x v="5"/>
    <n v="2"/>
    <m/>
    <n v="1"/>
    <m/>
    <m/>
    <n v="1"/>
    <m/>
    <m/>
    <m/>
    <m/>
  </r>
  <r>
    <x v="1"/>
    <x v="1"/>
    <n v="4"/>
    <m/>
    <n v="1"/>
    <n v="1"/>
    <m/>
    <n v="1"/>
    <n v="1"/>
    <m/>
    <m/>
    <m/>
  </r>
  <r>
    <x v="10"/>
    <x v="10"/>
    <n v="3"/>
    <m/>
    <m/>
    <m/>
    <m/>
    <n v="2"/>
    <m/>
    <m/>
    <m/>
    <n v="1"/>
  </r>
  <r>
    <x v="9"/>
    <x v="9"/>
    <n v="1"/>
    <m/>
    <m/>
    <m/>
    <m/>
    <n v="1"/>
    <m/>
    <m/>
    <m/>
    <m/>
  </r>
  <r>
    <x v="27"/>
    <x v="27"/>
    <n v="3"/>
    <m/>
    <n v="1"/>
    <m/>
    <m/>
    <n v="1"/>
    <n v="1"/>
    <m/>
    <m/>
    <m/>
  </r>
  <r>
    <x v="28"/>
    <x v="28"/>
    <n v="1"/>
    <m/>
    <m/>
    <m/>
    <m/>
    <n v="1"/>
    <m/>
    <m/>
    <m/>
    <m/>
  </r>
  <r>
    <x v="9"/>
    <x v="9"/>
    <n v="1"/>
    <m/>
    <m/>
    <m/>
    <m/>
    <m/>
    <m/>
    <m/>
    <n v="1"/>
    <m/>
  </r>
  <r>
    <x v="5"/>
    <x v="5"/>
    <n v="4"/>
    <m/>
    <m/>
    <n v="1"/>
    <m/>
    <n v="2"/>
    <n v="1"/>
    <m/>
    <m/>
    <m/>
  </r>
  <r>
    <x v="14"/>
    <x v="14"/>
    <n v="1"/>
    <m/>
    <m/>
    <m/>
    <m/>
    <n v="1"/>
    <m/>
    <m/>
    <m/>
    <m/>
  </r>
  <r>
    <x v="8"/>
    <x v="8"/>
    <n v="1"/>
    <m/>
    <m/>
    <m/>
    <m/>
    <n v="1"/>
    <m/>
    <m/>
    <m/>
    <m/>
  </r>
  <r>
    <x v="20"/>
    <x v="20"/>
    <n v="3"/>
    <m/>
    <n v="3"/>
    <m/>
    <m/>
    <m/>
    <m/>
    <m/>
    <m/>
    <m/>
  </r>
  <r>
    <x v="28"/>
    <x v="28"/>
    <n v="1"/>
    <m/>
    <m/>
    <m/>
    <m/>
    <n v="1"/>
    <m/>
    <m/>
    <m/>
    <m/>
  </r>
  <r>
    <x v="12"/>
    <x v="12"/>
    <n v="5"/>
    <m/>
    <m/>
    <m/>
    <m/>
    <n v="5"/>
    <m/>
    <m/>
    <m/>
    <m/>
  </r>
  <r>
    <x v="12"/>
    <x v="12"/>
    <n v="5"/>
    <m/>
    <m/>
    <n v="1"/>
    <n v="1"/>
    <n v="2"/>
    <m/>
    <n v="1"/>
    <m/>
    <m/>
  </r>
  <r>
    <x v="22"/>
    <x v="22"/>
    <n v="5"/>
    <m/>
    <m/>
    <n v="1"/>
    <n v="2"/>
    <n v="2"/>
    <m/>
    <m/>
    <m/>
    <m/>
  </r>
  <r>
    <x v="19"/>
    <x v="19"/>
    <n v="1"/>
    <m/>
    <m/>
    <m/>
    <m/>
    <n v="1"/>
    <m/>
    <m/>
    <m/>
    <m/>
  </r>
  <r>
    <x v="20"/>
    <x v="20"/>
    <n v="1"/>
    <m/>
    <m/>
    <m/>
    <m/>
    <m/>
    <n v="1"/>
    <m/>
    <m/>
    <m/>
  </r>
  <r>
    <x v="25"/>
    <x v="25"/>
    <n v="1"/>
    <m/>
    <m/>
    <m/>
    <m/>
    <m/>
    <n v="1"/>
    <m/>
    <m/>
    <m/>
  </r>
  <r>
    <x v="3"/>
    <x v="3"/>
    <n v="1"/>
    <m/>
    <m/>
    <m/>
    <m/>
    <m/>
    <m/>
    <n v="1"/>
    <m/>
    <m/>
  </r>
  <r>
    <x v="25"/>
    <x v="25"/>
    <n v="1"/>
    <m/>
    <m/>
    <m/>
    <m/>
    <n v="1"/>
    <m/>
    <m/>
    <m/>
    <m/>
  </r>
  <r>
    <x v="10"/>
    <x v="10"/>
    <n v="5"/>
    <m/>
    <m/>
    <m/>
    <m/>
    <m/>
    <n v="3"/>
    <n v="2"/>
    <m/>
    <m/>
  </r>
  <r>
    <x v="28"/>
    <x v="28"/>
    <n v="1"/>
    <m/>
    <n v="1"/>
    <m/>
    <m/>
    <m/>
    <m/>
    <m/>
    <m/>
    <m/>
  </r>
  <r>
    <x v="20"/>
    <x v="20"/>
    <n v="2"/>
    <m/>
    <m/>
    <m/>
    <m/>
    <n v="2"/>
    <m/>
    <m/>
    <m/>
    <m/>
  </r>
  <r>
    <x v="5"/>
    <x v="5"/>
    <n v="4"/>
    <m/>
    <n v="2"/>
    <n v="1"/>
    <m/>
    <n v="1"/>
    <m/>
    <m/>
    <m/>
    <m/>
  </r>
  <r>
    <x v="29"/>
    <x v="29"/>
    <n v="4"/>
    <m/>
    <n v="2"/>
    <n v="1"/>
    <m/>
    <n v="1"/>
    <m/>
    <m/>
    <m/>
    <m/>
  </r>
  <r>
    <x v="1"/>
    <x v="1"/>
    <n v="1"/>
    <m/>
    <m/>
    <m/>
    <m/>
    <n v="1"/>
    <m/>
    <m/>
    <m/>
    <m/>
  </r>
  <r>
    <x v="13"/>
    <x v="13"/>
    <n v="2"/>
    <m/>
    <m/>
    <m/>
    <m/>
    <n v="1"/>
    <n v="1"/>
    <m/>
    <m/>
    <m/>
  </r>
  <r>
    <x v="16"/>
    <x v="16"/>
    <n v="3"/>
    <m/>
    <m/>
    <m/>
    <m/>
    <n v="2"/>
    <m/>
    <n v="1"/>
    <m/>
    <m/>
  </r>
  <r>
    <x v="14"/>
    <x v="14"/>
    <n v="3"/>
    <m/>
    <m/>
    <m/>
    <m/>
    <n v="1"/>
    <n v="2"/>
    <m/>
    <m/>
    <m/>
  </r>
  <r>
    <x v="22"/>
    <x v="22"/>
    <n v="3"/>
    <m/>
    <m/>
    <m/>
    <m/>
    <n v="1"/>
    <n v="2"/>
    <m/>
    <m/>
    <m/>
  </r>
  <r>
    <x v="9"/>
    <x v="9"/>
    <n v="3"/>
    <m/>
    <m/>
    <m/>
    <m/>
    <n v="2"/>
    <n v="1"/>
    <m/>
    <m/>
    <m/>
  </r>
  <r>
    <x v="10"/>
    <x v="10"/>
    <n v="2"/>
    <m/>
    <m/>
    <m/>
    <m/>
    <n v="1"/>
    <n v="1"/>
    <m/>
    <m/>
    <m/>
  </r>
  <r>
    <x v="30"/>
    <x v="28"/>
    <n v="5"/>
    <m/>
    <n v="2"/>
    <m/>
    <m/>
    <n v="2"/>
    <m/>
    <m/>
    <n v="1"/>
    <m/>
  </r>
  <r>
    <x v="8"/>
    <x v="8"/>
    <n v="1"/>
    <m/>
    <m/>
    <m/>
    <m/>
    <m/>
    <n v="1"/>
    <m/>
    <m/>
    <m/>
  </r>
  <r>
    <x v="5"/>
    <x v="5"/>
    <n v="2"/>
    <m/>
    <m/>
    <m/>
    <m/>
    <n v="2"/>
    <m/>
    <m/>
    <m/>
    <m/>
  </r>
  <r>
    <x v="0"/>
    <x v="0"/>
    <n v="2"/>
    <m/>
    <m/>
    <n v="1"/>
    <m/>
    <n v="1"/>
    <m/>
    <m/>
    <m/>
    <m/>
  </r>
  <r>
    <x v="20"/>
    <x v="20"/>
    <n v="3"/>
    <m/>
    <n v="1"/>
    <m/>
    <m/>
    <n v="2"/>
    <m/>
    <m/>
    <m/>
    <m/>
  </r>
  <r>
    <x v="5"/>
    <x v="5"/>
    <n v="3"/>
    <m/>
    <n v="1"/>
    <m/>
    <m/>
    <n v="1"/>
    <n v="1"/>
    <m/>
    <m/>
    <m/>
  </r>
  <r>
    <x v="28"/>
    <x v="28"/>
    <n v="1"/>
    <m/>
    <m/>
    <n v="1"/>
    <m/>
    <m/>
    <m/>
    <m/>
    <m/>
    <m/>
  </r>
  <r>
    <x v="31"/>
    <x v="30"/>
    <n v="1"/>
    <m/>
    <m/>
    <n v="1"/>
    <m/>
    <m/>
    <m/>
    <m/>
    <m/>
    <m/>
  </r>
  <r>
    <x v="10"/>
    <x v="10"/>
    <n v="1"/>
    <m/>
    <m/>
    <m/>
    <m/>
    <m/>
    <n v="1"/>
    <m/>
    <m/>
    <m/>
  </r>
  <r>
    <x v="32"/>
    <x v="31"/>
    <n v="2"/>
    <m/>
    <m/>
    <m/>
    <m/>
    <n v="1"/>
    <m/>
    <m/>
    <m/>
    <n v="1"/>
  </r>
  <r>
    <x v="16"/>
    <x v="16"/>
    <n v="2"/>
    <m/>
    <m/>
    <m/>
    <m/>
    <n v="1"/>
    <n v="1"/>
    <m/>
    <m/>
    <m/>
  </r>
  <r>
    <x v="7"/>
    <x v="7"/>
    <n v="1"/>
    <m/>
    <m/>
    <m/>
    <m/>
    <m/>
    <n v="1"/>
    <m/>
    <m/>
    <m/>
  </r>
  <r>
    <x v="5"/>
    <x v="5"/>
    <n v="1"/>
    <m/>
    <m/>
    <n v="1"/>
    <m/>
    <m/>
    <m/>
    <m/>
    <m/>
    <m/>
  </r>
  <r>
    <x v="28"/>
    <x v="28"/>
    <n v="2"/>
    <m/>
    <m/>
    <m/>
    <m/>
    <n v="1"/>
    <m/>
    <m/>
    <m/>
    <n v="1"/>
  </r>
  <r>
    <x v="33"/>
    <x v="32"/>
    <n v="3"/>
    <m/>
    <m/>
    <m/>
    <m/>
    <n v="1"/>
    <n v="2"/>
    <m/>
    <m/>
    <m/>
  </r>
  <r>
    <x v="20"/>
    <x v="20"/>
    <n v="1"/>
    <m/>
    <m/>
    <n v="1"/>
    <m/>
    <m/>
    <m/>
    <m/>
    <m/>
    <m/>
  </r>
  <r>
    <x v="10"/>
    <x v="10"/>
    <n v="6"/>
    <m/>
    <n v="1"/>
    <n v="1"/>
    <m/>
    <m/>
    <n v="2"/>
    <n v="2"/>
    <m/>
    <m/>
  </r>
  <r>
    <x v="1"/>
    <x v="1"/>
    <n v="5"/>
    <m/>
    <m/>
    <m/>
    <n v="5"/>
    <m/>
    <m/>
    <m/>
    <m/>
    <m/>
  </r>
  <r>
    <x v="22"/>
    <x v="22"/>
    <n v="2"/>
    <m/>
    <m/>
    <m/>
    <m/>
    <n v="2"/>
    <m/>
    <m/>
    <m/>
    <m/>
  </r>
  <r>
    <x v="12"/>
    <x v="12"/>
    <n v="1"/>
    <m/>
    <m/>
    <m/>
    <n v="1"/>
    <m/>
    <m/>
    <m/>
    <m/>
    <m/>
  </r>
  <r>
    <x v="4"/>
    <x v="4"/>
    <n v="1"/>
    <m/>
    <m/>
    <m/>
    <m/>
    <n v="1"/>
    <m/>
    <m/>
    <m/>
    <m/>
  </r>
  <r>
    <x v="5"/>
    <x v="5"/>
    <n v="3"/>
    <m/>
    <m/>
    <m/>
    <m/>
    <n v="2"/>
    <n v="1"/>
    <m/>
    <m/>
    <m/>
  </r>
  <r>
    <x v="17"/>
    <x v="17"/>
    <n v="1"/>
    <m/>
    <m/>
    <m/>
    <m/>
    <m/>
    <n v="1"/>
    <m/>
    <m/>
    <m/>
  </r>
  <r>
    <x v="4"/>
    <x v="4"/>
    <n v="1"/>
    <m/>
    <m/>
    <n v="1"/>
    <m/>
    <m/>
    <m/>
    <m/>
    <m/>
    <m/>
  </r>
  <r>
    <x v="1"/>
    <x v="1"/>
    <n v="1"/>
    <m/>
    <m/>
    <m/>
    <n v="1"/>
    <m/>
    <m/>
    <m/>
    <m/>
    <m/>
  </r>
  <r>
    <x v="14"/>
    <x v="14"/>
    <n v="2"/>
    <m/>
    <m/>
    <n v="1"/>
    <m/>
    <m/>
    <n v="1"/>
    <m/>
    <m/>
    <m/>
  </r>
  <r>
    <x v="20"/>
    <x v="20"/>
    <n v="1"/>
    <m/>
    <n v="1"/>
    <m/>
    <m/>
    <m/>
    <m/>
    <m/>
    <m/>
    <m/>
  </r>
  <r>
    <x v="28"/>
    <x v="28"/>
    <n v="1"/>
    <m/>
    <m/>
    <m/>
    <m/>
    <m/>
    <m/>
    <n v="1"/>
    <m/>
    <m/>
  </r>
  <r>
    <x v="22"/>
    <x v="22"/>
    <n v="4"/>
    <m/>
    <n v="1"/>
    <m/>
    <m/>
    <n v="3"/>
    <m/>
    <m/>
    <m/>
    <m/>
  </r>
  <r>
    <x v="4"/>
    <x v="4"/>
    <n v="3"/>
    <m/>
    <n v="1"/>
    <n v="1"/>
    <m/>
    <n v="1"/>
    <m/>
    <m/>
    <m/>
    <m/>
  </r>
  <r>
    <x v="10"/>
    <x v="10"/>
    <n v="5"/>
    <m/>
    <m/>
    <n v="1"/>
    <n v="3"/>
    <n v="1"/>
    <m/>
    <m/>
    <m/>
    <m/>
  </r>
  <r>
    <x v="18"/>
    <x v="18"/>
    <n v="4"/>
    <n v="1"/>
    <m/>
    <m/>
    <n v="1"/>
    <n v="2"/>
    <m/>
    <m/>
    <m/>
    <m/>
  </r>
  <r>
    <x v="34"/>
    <x v="33"/>
    <n v="2"/>
    <m/>
    <n v="1"/>
    <m/>
    <m/>
    <m/>
    <m/>
    <n v="1"/>
    <m/>
    <m/>
  </r>
  <r>
    <x v="1"/>
    <x v="1"/>
    <n v="4"/>
    <m/>
    <m/>
    <m/>
    <m/>
    <n v="2"/>
    <n v="1"/>
    <n v="1"/>
    <m/>
    <m/>
  </r>
  <r>
    <x v="14"/>
    <x v="14"/>
    <n v="1"/>
    <m/>
    <n v="1"/>
    <m/>
    <m/>
    <m/>
    <m/>
    <m/>
    <m/>
    <m/>
  </r>
  <r>
    <x v="11"/>
    <x v="11"/>
    <n v="1"/>
    <m/>
    <n v="1"/>
    <m/>
    <m/>
    <m/>
    <m/>
    <m/>
    <m/>
    <m/>
  </r>
  <r>
    <x v="5"/>
    <x v="5"/>
    <n v="1"/>
    <m/>
    <n v="1"/>
    <m/>
    <m/>
    <m/>
    <m/>
    <m/>
    <m/>
    <m/>
  </r>
  <r>
    <x v="16"/>
    <x v="16"/>
    <n v="4"/>
    <m/>
    <m/>
    <n v="1"/>
    <m/>
    <n v="1"/>
    <n v="2"/>
    <m/>
    <m/>
    <m/>
  </r>
  <r>
    <x v="9"/>
    <x v="9"/>
    <n v="3"/>
    <n v="1"/>
    <m/>
    <m/>
    <n v="1"/>
    <n v="1"/>
    <m/>
    <m/>
    <m/>
    <m/>
  </r>
  <r>
    <x v="28"/>
    <x v="28"/>
    <n v="1"/>
    <m/>
    <m/>
    <m/>
    <m/>
    <m/>
    <n v="1"/>
    <m/>
    <m/>
    <m/>
  </r>
  <r>
    <x v="22"/>
    <x v="22"/>
    <n v="2"/>
    <m/>
    <m/>
    <m/>
    <m/>
    <n v="1"/>
    <n v="1"/>
    <m/>
    <m/>
    <m/>
  </r>
  <r>
    <x v="1"/>
    <x v="1"/>
    <n v="5"/>
    <m/>
    <m/>
    <m/>
    <m/>
    <n v="5"/>
    <m/>
    <m/>
    <m/>
    <m/>
  </r>
  <r>
    <x v="17"/>
    <x v="17"/>
    <n v="1"/>
    <m/>
    <m/>
    <m/>
    <m/>
    <n v="1"/>
    <m/>
    <m/>
    <m/>
    <m/>
  </r>
  <r>
    <x v="35"/>
    <x v="34"/>
    <n v="1"/>
    <n v="1"/>
    <m/>
    <m/>
    <m/>
    <m/>
    <m/>
    <m/>
    <m/>
    <m/>
  </r>
  <r>
    <x v="31"/>
    <x v="30"/>
    <n v="1"/>
    <m/>
    <n v="1"/>
    <m/>
    <m/>
    <m/>
    <m/>
    <m/>
    <m/>
    <m/>
  </r>
  <r>
    <x v="23"/>
    <x v="23"/>
    <n v="1"/>
    <m/>
    <m/>
    <n v="1"/>
    <m/>
    <m/>
    <m/>
    <m/>
    <m/>
    <m/>
  </r>
  <r>
    <x v="8"/>
    <x v="8"/>
    <n v="1"/>
    <m/>
    <m/>
    <m/>
    <n v="1"/>
    <m/>
    <m/>
    <m/>
    <m/>
    <m/>
  </r>
  <r>
    <x v="18"/>
    <x v="18"/>
    <n v="3"/>
    <m/>
    <n v="1"/>
    <m/>
    <m/>
    <n v="2"/>
    <m/>
    <m/>
    <m/>
    <m/>
  </r>
  <r>
    <x v="28"/>
    <x v="28"/>
    <n v="1"/>
    <m/>
    <m/>
    <m/>
    <m/>
    <m/>
    <m/>
    <n v="1"/>
    <m/>
    <m/>
  </r>
  <r>
    <x v="18"/>
    <x v="18"/>
    <n v="2"/>
    <m/>
    <m/>
    <m/>
    <m/>
    <n v="2"/>
    <m/>
    <m/>
    <m/>
    <m/>
  </r>
  <r>
    <x v="16"/>
    <x v="16"/>
    <n v="3"/>
    <m/>
    <m/>
    <m/>
    <m/>
    <n v="2"/>
    <m/>
    <n v="1"/>
    <m/>
    <m/>
  </r>
  <r>
    <x v="20"/>
    <x v="20"/>
    <n v="1"/>
    <m/>
    <m/>
    <m/>
    <m/>
    <n v="1"/>
    <m/>
    <m/>
    <m/>
    <m/>
  </r>
  <r>
    <x v="9"/>
    <x v="9"/>
    <n v="2"/>
    <m/>
    <m/>
    <m/>
    <m/>
    <n v="1"/>
    <n v="1"/>
    <m/>
    <m/>
    <m/>
  </r>
  <r>
    <x v="36"/>
    <x v="35"/>
    <n v="2"/>
    <m/>
    <m/>
    <m/>
    <m/>
    <n v="1"/>
    <n v="1"/>
    <m/>
    <m/>
    <m/>
  </r>
  <r>
    <x v="10"/>
    <x v="10"/>
    <n v="8"/>
    <m/>
    <m/>
    <m/>
    <m/>
    <n v="2"/>
    <n v="2"/>
    <n v="4"/>
    <m/>
    <m/>
  </r>
  <r>
    <x v="19"/>
    <x v="19"/>
    <n v="1"/>
    <m/>
    <m/>
    <m/>
    <m/>
    <n v="1"/>
    <m/>
    <m/>
    <m/>
    <m/>
  </r>
  <r>
    <x v="12"/>
    <x v="12"/>
    <n v="1"/>
    <m/>
    <m/>
    <m/>
    <m/>
    <n v="1"/>
    <m/>
    <m/>
    <m/>
    <m/>
  </r>
  <r>
    <x v="9"/>
    <x v="9"/>
    <n v="1"/>
    <m/>
    <m/>
    <n v="1"/>
    <m/>
    <m/>
    <m/>
    <m/>
    <m/>
    <m/>
  </r>
  <r>
    <x v="14"/>
    <x v="14"/>
    <n v="1"/>
    <m/>
    <m/>
    <n v="1"/>
    <m/>
    <m/>
    <m/>
    <m/>
    <m/>
    <m/>
  </r>
  <r>
    <x v="5"/>
    <x v="5"/>
    <n v="1"/>
    <m/>
    <m/>
    <m/>
    <m/>
    <m/>
    <n v="1"/>
    <m/>
    <m/>
    <m/>
  </r>
  <r>
    <x v="1"/>
    <x v="1"/>
    <n v="2"/>
    <m/>
    <m/>
    <m/>
    <n v="2"/>
    <m/>
    <m/>
    <m/>
    <m/>
    <m/>
  </r>
  <r>
    <x v="31"/>
    <x v="30"/>
    <n v="2"/>
    <m/>
    <m/>
    <m/>
    <m/>
    <n v="2"/>
    <m/>
    <m/>
    <m/>
    <m/>
  </r>
  <r>
    <x v="36"/>
    <x v="35"/>
    <n v="1"/>
    <m/>
    <m/>
    <m/>
    <m/>
    <n v="1"/>
    <m/>
    <m/>
    <m/>
    <m/>
  </r>
  <r>
    <x v="10"/>
    <x v="10"/>
    <n v="3"/>
    <m/>
    <m/>
    <m/>
    <m/>
    <m/>
    <n v="2"/>
    <n v="1"/>
    <m/>
    <m/>
  </r>
  <r>
    <x v="25"/>
    <x v="25"/>
    <n v="1"/>
    <m/>
    <m/>
    <m/>
    <m/>
    <n v="1"/>
    <m/>
    <m/>
    <m/>
    <m/>
  </r>
  <r>
    <x v="23"/>
    <x v="23"/>
    <n v="1"/>
    <m/>
    <n v="1"/>
    <m/>
    <m/>
    <m/>
    <m/>
    <m/>
    <m/>
    <m/>
  </r>
  <r>
    <x v="19"/>
    <x v="19"/>
    <n v="1"/>
    <m/>
    <m/>
    <m/>
    <m/>
    <n v="1"/>
    <m/>
    <m/>
    <m/>
    <m/>
  </r>
  <r>
    <x v="16"/>
    <x v="16"/>
    <n v="1"/>
    <m/>
    <m/>
    <m/>
    <m/>
    <m/>
    <n v="1"/>
    <m/>
    <m/>
    <m/>
  </r>
  <r>
    <x v="12"/>
    <x v="12"/>
    <n v="1"/>
    <m/>
    <m/>
    <m/>
    <m/>
    <m/>
    <n v="1"/>
    <m/>
    <m/>
    <m/>
  </r>
  <r>
    <x v="5"/>
    <x v="5"/>
    <n v="1"/>
    <m/>
    <m/>
    <m/>
    <m/>
    <n v="1"/>
    <m/>
    <m/>
    <m/>
    <m/>
  </r>
  <r>
    <x v="31"/>
    <x v="30"/>
    <n v="2"/>
    <m/>
    <m/>
    <m/>
    <m/>
    <n v="1"/>
    <m/>
    <n v="1"/>
    <m/>
    <m/>
  </r>
  <r>
    <x v="11"/>
    <x v="11"/>
    <n v="2"/>
    <m/>
    <n v="1"/>
    <m/>
    <m/>
    <m/>
    <n v="1"/>
    <m/>
    <m/>
    <m/>
  </r>
  <r>
    <x v="0"/>
    <x v="0"/>
    <n v="2"/>
    <m/>
    <n v="1"/>
    <m/>
    <m/>
    <m/>
    <n v="1"/>
    <m/>
    <m/>
    <m/>
  </r>
  <r>
    <x v="1"/>
    <x v="1"/>
    <n v="4"/>
    <m/>
    <m/>
    <m/>
    <m/>
    <n v="3"/>
    <n v="1"/>
    <m/>
    <m/>
    <m/>
  </r>
  <r>
    <x v="33"/>
    <x v="32"/>
    <n v="2"/>
    <m/>
    <m/>
    <m/>
    <m/>
    <n v="2"/>
    <m/>
    <m/>
    <m/>
    <m/>
  </r>
  <r>
    <x v="30"/>
    <x v="28"/>
    <n v="2"/>
    <m/>
    <m/>
    <m/>
    <m/>
    <n v="1"/>
    <m/>
    <m/>
    <m/>
    <n v="1"/>
  </r>
  <r>
    <x v="16"/>
    <x v="16"/>
    <n v="2"/>
    <m/>
    <m/>
    <m/>
    <m/>
    <n v="2"/>
    <m/>
    <m/>
    <m/>
    <m/>
  </r>
  <r>
    <x v="12"/>
    <x v="12"/>
    <n v="1"/>
    <m/>
    <m/>
    <m/>
    <m/>
    <m/>
    <m/>
    <n v="1"/>
    <m/>
    <m/>
  </r>
  <r>
    <x v="5"/>
    <x v="5"/>
    <n v="5"/>
    <m/>
    <n v="4"/>
    <m/>
    <m/>
    <n v="1"/>
    <m/>
    <m/>
    <m/>
    <m/>
  </r>
  <r>
    <x v="9"/>
    <x v="9"/>
    <n v="2"/>
    <m/>
    <n v="1"/>
    <m/>
    <m/>
    <n v="1"/>
    <m/>
    <m/>
    <m/>
    <m/>
  </r>
  <r>
    <x v="28"/>
    <x v="28"/>
    <n v="1"/>
    <m/>
    <n v="1"/>
    <m/>
    <m/>
    <m/>
    <m/>
    <m/>
    <m/>
    <m/>
  </r>
  <r>
    <x v="10"/>
    <x v="10"/>
    <n v="7"/>
    <m/>
    <n v="1"/>
    <m/>
    <m/>
    <n v="3"/>
    <n v="2"/>
    <n v="1"/>
    <m/>
    <m/>
  </r>
  <r>
    <x v="13"/>
    <x v="13"/>
    <n v="2"/>
    <m/>
    <m/>
    <m/>
    <m/>
    <n v="1"/>
    <n v="1"/>
    <m/>
    <m/>
    <m/>
  </r>
  <r>
    <x v="33"/>
    <x v="32"/>
    <n v="2"/>
    <n v="1"/>
    <m/>
    <m/>
    <m/>
    <n v="1"/>
    <m/>
    <m/>
    <m/>
    <m/>
  </r>
  <r>
    <x v="28"/>
    <x v="28"/>
    <n v="1"/>
    <m/>
    <m/>
    <m/>
    <m/>
    <m/>
    <m/>
    <n v="1"/>
    <m/>
    <m/>
  </r>
  <r>
    <x v="5"/>
    <x v="5"/>
    <n v="2"/>
    <m/>
    <m/>
    <m/>
    <m/>
    <n v="1"/>
    <n v="1"/>
    <m/>
    <m/>
    <m/>
  </r>
  <r>
    <x v="1"/>
    <x v="1"/>
    <n v="2"/>
    <m/>
    <m/>
    <m/>
    <m/>
    <n v="1"/>
    <n v="1"/>
    <m/>
    <m/>
    <m/>
  </r>
  <r>
    <x v="14"/>
    <x v="14"/>
    <n v="1"/>
    <m/>
    <m/>
    <m/>
    <m/>
    <n v="1"/>
    <m/>
    <m/>
    <m/>
    <m/>
  </r>
  <r>
    <x v="5"/>
    <x v="5"/>
    <n v="1"/>
    <m/>
    <m/>
    <m/>
    <m/>
    <n v="1"/>
    <m/>
    <m/>
    <m/>
    <m/>
  </r>
  <r>
    <x v="12"/>
    <x v="12"/>
    <n v="1"/>
    <m/>
    <m/>
    <m/>
    <m/>
    <m/>
    <m/>
    <n v="1"/>
    <m/>
    <m/>
  </r>
  <r>
    <x v="0"/>
    <x v="0"/>
    <n v="1"/>
    <m/>
    <m/>
    <m/>
    <m/>
    <n v="1"/>
    <m/>
    <m/>
    <m/>
    <m/>
  </r>
  <r>
    <x v="0"/>
    <x v="0"/>
    <n v="2"/>
    <m/>
    <m/>
    <m/>
    <m/>
    <n v="1"/>
    <n v="1"/>
    <m/>
    <m/>
    <m/>
  </r>
  <r>
    <x v="5"/>
    <x v="5"/>
    <n v="1"/>
    <m/>
    <m/>
    <m/>
    <m/>
    <n v="1"/>
    <m/>
    <m/>
    <m/>
    <m/>
  </r>
  <r>
    <x v="20"/>
    <x v="20"/>
    <n v="7"/>
    <m/>
    <m/>
    <n v="1"/>
    <n v="4"/>
    <n v="2"/>
    <m/>
    <m/>
    <m/>
    <m/>
  </r>
  <r>
    <x v="13"/>
    <x v="13"/>
    <n v="3"/>
    <m/>
    <n v="1"/>
    <m/>
    <m/>
    <m/>
    <m/>
    <n v="2"/>
    <m/>
    <m/>
  </r>
  <r>
    <x v="14"/>
    <x v="14"/>
    <n v="3"/>
    <m/>
    <n v="1"/>
    <m/>
    <m/>
    <m/>
    <m/>
    <n v="2"/>
    <m/>
    <m/>
  </r>
  <r>
    <x v="16"/>
    <x v="16"/>
    <n v="3"/>
    <m/>
    <m/>
    <m/>
    <m/>
    <n v="2"/>
    <m/>
    <m/>
    <m/>
    <n v="1"/>
  </r>
  <r>
    <x v="31"/>
    <x v="30"/>
    <n v="1"/>
    <m/>
    <m/>
    <m/>
    <m/>
    <n v="1"/>
    <m/>
    <m/>
    <m/>
    <m/>
  </r>
  <r>
    <x v="18"/>
    <x v="18"/>
    <n v="1"/>
    <m/>
    <m/>
    <m/>
    <m/>
    <n v="1"/>
    <m/>
    <m/>
    <m/>
    <m/>
  </r>
  <r>
    <x v="5"/>
    <x v="5"/>
    <n v="3"/>
    <m/>
    <n v="1"/>
    <m/>
    <m/>
    <n v="1"/>
    <m/>
    <m/>
    <n v="1"/>
    <m/>
  </r>
  <r>
    <x v="20"/>
    <x v="20"/>
    <n v="4"/>
    <m/>
    <m/>
    <n v="1"/>
    <n v="1"/>
    <n v="2"/>
    <m/>
    <m/>
    <m/>
    <m/>
  </r>
  <r>
    <x v="37"/>
    <x v="36"/>
    <n v="1"/>
    <m/>
    <n v="1"/>
    <m/>
    <m/>
    <m/>
    <m/>
    <m/>
    <m/>
    <m/>
  </r>
  <r>
    <x v="12"/>
    <x v="12"/>
    <n v="2"/>
    <m/>
    <m/>
    <n v="1"/>
    <m/>
    <n v="1"/>
    <m/>
    <m/>
    <m/>
    <m/>
  </r>
  <r>
    <x v="26"/>
    <x v="26"/>
    <n v="3"/>
    <n v="1"/>
    <m/>
    <m/>
    <n v="1"/>
    <n v="1"/>
    <m/>
    <m/>
    <m/>
    <m/>
  </r>
  <r>
    <x v="16"/>
    <x v="16"/>
    <n v="1"/>
    <m/>
    <m/>
    <m/>
    <m/>
    <n v="1"/>
    <m/>
    <m/>
    <m/>
    <m/>
  </r>
  <r>
    <x v="31"/>
    <x v="30"/>
    <n v="2"/>
    <m/>
    <m/>
    <m/>
    <m/>
    <n v="2"/>
    <m/>
    <m/>
    <m/>
    <m/>
  </r>
  <r>
    <x v="18"/>
    <x v="18"/>
    <n v="1"/>
    <m/>
    <n v="1"/>
    <m/>
    <m/>
    <m/>
    <m/>
    <m/>
    <m/>
    <m/>
  </r>
  <r>
    <x v="12"/>
    <x v="12"/>
    <n v="2"/>
    <m/>
    <n v="1"/>
    <n v="1"/>
    <m/>
    <m/>
    <m/>
    <m/>
    <m/>
    <m/>
  </r>
  <r>
    <x v="5"/>
    <x v="5"/>
    <n v="5"/>
    <m/>
    <n v="1"/>
    <m/>
    <m/>
    <n v="3"/>
    <n v="1"/>
    <m/>
    <m/>
    <m/>
  </r>
  <r>
    <x v="20"/>
    <x v="20"/>
    <n v="1"/>
    <m/>
    <m/>
    <m/>
    <n v="1"/>
    <m/>
    <m/>
    <m/>
    <m/>
    <m/>
  </r>
  <r>
    <x v="10"/>
    <x v="10"/>
    <n v="3"/>
    <m/>
    <n v="1"/>
    <m/>
    <m/>
    <m/>
    <n v="2"/>
    <m/>
    <m/>
    <m/>
  </r>
  <r>
    <x v="38"/>
    <x v="37"/>
    <n v="2"/>
    <m/>
    <m/>
    <m/>
    <m/>
    <m/>
    <n v="2"/>
    <m/>
    <m/>
    <m/>
  </r>
  <r>
    <x v="1"/>
    <x v="1"/>
    <n v="2"/>
    <m/>
    <m/>
    <m/>
    <n v="2"/>
    <m/>
    <m/>
    <m/>
    <m/>
    <m/>
  </r>
  <r>
    <x v="5"/>
    <x v="5"/>
    <n v="1"/>
    <m/>
    <m/>
    <m/>
    <m/>
    <n v="1"/>
    <m/>
    <m/>
    <m/>
    <m/>
  </r>
  <r>
    <x v="37"/>
    <x v="36"/>
    <n v="1"/>
    <m/>
    <m/>
    <m/>
    <m/>
    <n v="1"/>
    <m/>
    <m/>
    <m/>
    <m/>
  </r>
  <r>
    <x v="31"/>
    <x v="30"/>
    <n v="3"/>
    <m/>
    <n v="1"/>
    <m/>
    <m/>
    <n v="2"/>
    <m/>
    <m/>
    <m/>
    <m/>
  </r>
  <r>
    <x v="28"/>
    <x v="28"/>
    <n v="3"/>
    <m/>
    <n v="1"/>
    <n v="1"/>
    <m/>
    <n v="1"/>
    <m/>
    <m/>
    <m/>
    <m/>
  </r>
  <r>
    <x v="39"/>
    <x v="38"/>
    <n v="1"/>
    <m/>
    <m/>
    <m/>
    <m/>
    <n v="1"/>
    <m/>
    <m/>
    <m/>
    <m/>
  </r>
  <r>
    <x v="25"/>
    <x v="25"/>
    <n v="5"/>
    <m/>
    <m/>
    <n v="1"/>
    <n v="1"/>
    <n v="1"/>
    <m/>
    <n v="2"/>
    <m/>
    <m/>
  </r>
  <r>
    <x v="33"/>
    <x v="32"/>
    <n v="5"/>
    <m/>
    <n v="1"/>
    <n v="1"/>
    <m/>
    <n v="2"/>
    <n v="1"/>
    <m/>
    <m/>
    <m/>
  </r>
  <r>
    <x v="9"/>
    <x v="9"/>
    <n v="1"/>
    <m/>
    <m/>
    <m/>
    <m/>
    <m/>
    <n v="1"/>
    <m/>
    <m/>
    <m/>
  </r>
  <r>
    <x v="4"/>
    <x v="4"/>
    <n v="4"/>
    <m/>
    <m/>
    <n v="1"/>
    <m/>
    <n v="3"/>
    <m/>
    <m/>
    <m/>
    <m/>
  </r>
  <r>
    <x v="1"/>
    <x v="1"/>
    <n v="2"/>
    <m/>
    <m/>
    <m/>
    <m/>
    <n v="2"/>
    <m/>
    <m/>
    <m/>
    <m/>
  </r>
  <r>
    <x v="5"/>
    <x v="5"/>
    <n v="5"/>
    <m/>
    <n v="1"/>
    <n v="1"/>
    <m/>
    <n v="2"/>
    <n v="1"/>
    <m/>
    <m/>
    <m/>
  </r>
  <r>
    <x v="20"/>
    <x v="20"/>
    <n v="1"/>
    <m/>
    <m/>
    <m/>
    <n v="1"/>
    <m/>
    <m/>
    <m/>
    <m/>
    <m/>
  </r>
  <r>
    <x v="20"/>
    <x v="20"/>
    <n v="1"/>
    <m/>
    <m/>
    <m/>
    <n v="1"/>
    <m/>
    <m/>
    <m/>
    <m/>
    <m/>
  </r>
  <r>
    <x v="37"/>
    <x v="36"/>
    <n v="1"/>
    <m/>
    <m/>
    <m/>
    <m/>
    <n v="1"/>
    <m/>
    <m/>
    <m/>
    <m/>
  </r>
  <r>
    <x v="25"/>
    <x v="25"/>
    <n v="2"/>
    <m/>
    <m/>
    <m/>
    <m/>
    <n v="2"/>
    <m/>
    <m/>
    <m/>
    <m/>
  </r>
  <r>
    <x v="20"/>
    <x v="20"/>
    <n v="2"/>
    <m/>
    <m/>
    <m/>
    <m/>
    <n v="2"/>
    <m/>
    <m/>
    <m/>
    <m/>
  </r>
  <r>
    <x v="23"/>
    <x v="23"/>
    <n v="1"/>
    <m/>
    <m/>
    <m/>
    <m/>
    <m/>
    <n v="1"/>
    <m/>
    <m/>
    <m/>
  </r>
  <r>
    <x v="38"/>
    <x v="37"/>
    <n v="1"/>
    <m/>
    <m/>
    <m/>
    <m/>
    <n v="1"/>
    <m/>
    <m/>
    <m/>
    <m/>
  </r>
  <r>
    <x v="18"/>
    <x v="18"/>
    <n v="2"/>
    <m/>
    <m/>
    <m/>
    <m/>
    <n v="2"/>
    <m/>
    <m/>
    <m/>
    <m/>
  </r>
  <r>
    <x v="26"/>
    <x v="26"/>
    <n v="1"/>
    <m/>
    <n v="1"/>
    <m/>
    <m/>
    <m/>
    <m/>
    <m/>
    <m/>
    <m/>
  </r>
  <r>
    <x v="28"/>
    <x v="28"/>
    <n v="1"/>
    <m/>
    <m/>
    <m/>
    <m/>
    <n v="1"/>
    <m/>
    <m/>
    <m/>
    <m/>
  </r>
  <r>
    <x v="0"/>
    <x v="0"/>
    <n v="1"/>
    <m/>
    <m/>
    <m/>
    <m/>
    <n v="1"/>
    <m/>
    <m/>
    <m/>
    <m/>
  </r>
  <r>
    <x v="7"/>
    <x v="7"/>
    <n v="1"/>
    <m/>
    <m/>
    <m/>
    <m/>
    <m/>
    <n v="1"/>
    <m/>
    <m/>
    <m/>
  </r>
  <r>
    <x v="13"/>
    <x v="13"/>
    <n v="3"/>
    <m/>
    <m/>
    <m/>
    <m/>
    <n v="1"/>
    <n v="1"/>
    <m/>
    <n v="1"/>
    <m/>
  </r>
  <r>
    <x v="40"/>
    <x v="39"/>
    <n v="2"/>
    <m/>
    <m/>
    <m/>
    <n v="1"/>
    <n v="1"/>
    <m/>
    <m/>
    <m/>
    <m/>
  </r>
  <r>
    <x v="38"/>
    <x v="37"/>
    <n v="4"/>
    <m/>
    <m/>
    <n v="2"/>
    <m/>
    <n v="2"/>
    <m/>
    <m/>
    <m/>
    <m/>
  </r>
  <r>
    <x v="19"/>
    <x v="19"/>
    <n v="2"/>
    <m/>
    <m/>
    <n v="1"/>
    <m/>
    <n v="1"/>
    <m/>
    <m/>
    <m/>
    <m/>
  </r>
  <r>
    <x v="9"/>
    <x v="9"/>
    <n v="2"/>
    <m/>
    <m/>
    <n v="1"/>
    <m/>
    <n v="1"/>
    <m/>
    <m/>
    <m/>
    <m/>
  </r>
  <r>
    <x v="1"/>
    <x v="1"/>
    <n v="8"/>
    <m/>
    <n v="5"/>
    <m/>
    <m/>
    <n v="2"/>
    <m/>
    <n v="1"/>
    <m/>
    <m/>
  </r>
  <r>
    <x v="41"/>
    <x v="40"/>
    <n v="1"/>
    <m/>
    <m/>
    <m/>
    <m/>
    <n v="1"/>
    <m/>
    <m/>
    <m/>
    <m/>
  </r>
  <r>
    <x v="5"/>
    <x v="5"/>
    <n v="1"/>
    <m/>
    <m/>
    <m/>
    <m/>
    <n v="1"/>
    <m/>
    <m/>
    <m/>
    <m/>
  </r>
  <r>
    <x v="18"/>
    <x v="18"/>
    <n v="2"/>
    <m/>
    <m/>
    <m/>
    <m/>
    <n v="1"/>
    <n v="1"/>
    <m/>
    <m/>
    <m/>
  </r>
  <r>
    <x v="40"/>
    <x v="39"/>
    <n v="2"/>
    <m/>
    <m/>
    <n v="1"/>
    <m/>
    <n v="1"/>
    <m/>
    <m/>
    <m/>
    <m/>
  </r>
  <r>
    <x v="10"/>
    <x v="10"/>
    <n v="9"/>
    <m/>
    <m/>
    <m/>
    <n v="5"/>
    <m/>
    <n v="2"/>
    <n v="2"/>
    <m/>
    <m/>
  </r>
  <r>
    <x v="1"/>
    <x v="1"/>
    <n v="6"/>
    <m/>
    <n v="1"/>
    <n v="2"/>
    <m/>
    <n v="1"/>
    <n v="2"/>
    <m/>
    <m/>
    <m/>
  </r>
  <r>
    <x v="18"/>
    <x v="18"/>
    <n v="1"/>
    <m/>
    <m/>
    <m/>
    <m/>
    <n v="1"/>
    <m/>
    <m/>
    <m/>
    <m/>
  </r>
  <r>
    <x v="31"/>
    <x v="30"/>
    <n v="2"/>
    <m/>
    <n v="1"/>
    <m/>
    <m/>
    <n v="1"/>
    <m/>
    <m/>
    <m/>
    <m/>
  </r>
  <r>
    <x v="38"/>
    <x v="37"/>
    <n v="1"/>
    <m/>
    <m/>
    <m/>
    <m/>
    <m/>
    <n v="1"/>
    <m/>
    <m/>
    <m/>
  </r>
  <r>
    <x v="10"/>
    <x v="10"/>
    <n v="5"/>
    <m/>
    <m/>
    <m/>
    <n v="2"/>
    <m/>
    <n v="1"/>
    <n v="2"/>
    <m/>
    <m/>
  </r>
  <r>
    <x v="5"/>
    <x v="5"/>
    <n v="3"/>
    <m/>
    <n v="1"/>
    <m/>
    <m/>
    <n v="2"/>
    <m/>
    <m/>
    <m/>
    <m/>
  </r>
  <r>
    <x v="1"/>
    <x v="1"/>
    <n v="1"/>
    <m/>
    <m/>
    <m/>
    <m/>
    <n v="1"/>
    <m/>
    <m/>
    <m/>
    <m/>
  </r>
  <r>
    <x v="11"/>
    <x v="11"/>
    <n v="3"/>
    <m/>
    <m/>
    <m/>
    <m/>
    <n v="3"/>
    <m/>
    <m/>
    <m/>
    <m/>
  </r>
  <r>
    <x v="42"/>
    <x v="41"/>
    <n v="3"/>
    <n v="1"/>
    <m/>
    <m/>
    <n v="1"/>
    <n v="1"/>
    <m/>
    <m/>
    <m/>
    <m/>
  </r>
  <r>
    <x v="25"/>
    <x v="25"/>
    <n v="1"/>
    <m/>
    <m/>
    <m/>
    <m/>
    <n v="1"/>
    <m/>
    <m/>
    <m/>
    <m/>
  </r>
  <r>
    <x v="38"/>
    <x v="37"/>
    <n v="2"/>
    <m/>
    <n v="1"/>
    <m/>
    <m/>
    <n v="1"/>
    <m/>
    <m/>
    <m/>
    <m/>
  </r>
  <r>
    <x v="16"/>
    <x v="16"/>
    <n v="2"/>
    <m/>
    <m/>
    <m/>
    <m/>
    <n v="1"/>
    <m/>
    <n v="1"/>
    <m/>
    <m/>
  </r>
  <r>
    <x v="11"/>
    <x v="11"/>
    <n v="2"/>
    <m/>
    <m/>
    <m/>
    <m/>
    <n v="1"/>
    <n v="1"/>
    <m/>
    <m/>
    <m/>
  </r>
  <r>
    <x v="0"/>
    <x v="0"/>
    <n v="2"/>
    <m/>
    <m/>
    <m/>
    <m/>
    <n v="1"/>
    <n v="1"/>
    <m/>
    <m/>
    <m/>
  </r>
  <r>
    <x v="43"/>
    <x v="42"/>
    <n v="2"/>
    <m/>
    <m/>
    <m/>
    <m/>
    <n v="1"/>
    <n v="1"/>
    <m/>
    <m/>
    <m/>
  </r>
  <r>
    <x v="5"/>
    <x v="5"/>
    <n v="2"/>
    <m/>
    <m/>
    <n v="1"/>
    <m/>
    <n v="1"/>
    <m/>
    <m/>
    <m/>
    <m/>
  </r>
  <r>
    <x v="0"/>
    <x v="0"/>
    <n v="2"/>
    <m/>
    <m/>
    <n v="1"/>
    <m/>
    <n v="1"/>
    <m/>
    <m/>
    <m/>
    <m/>
  </r>
  <r>
    <x v="11"/>
    <x v="11"/>
    <n v="2"/>
    <m/>
    <m/>
    <n v="1"/>
    <m/>
    <n v="1"/>
    <m/>
    <m/>
    <m/>
    <m/>
  </r>
  <r>
    <x v="1"/>
    <x v="1"/>
    <n v="3"/>
    <m/>
    <n v="1"/>
    <m/>
    <m/>
    <m/>
    <m/>
    <n v="2"/>
    <m/>
    <m/>
  </r>
  <r>
    <x v="44"/>
    <x v="43"/>
    <n v="3"/>
    <m/>
    <n v="1"/>
    <m/>
    <m/>
    <n v="2"/>
    <m/>
    <m/>
    <m/>
    <m/>
  </r>
  <r>
    <x v="10"/>
    <x v="10"/>
    <n v="2"/>
    <m/>
    <n v="1"/>
    <n v="1"/>
    <m/>
    <m/>
    <m/>
    <m/>
    <m/>
    <m/>
  </r>
  <r>
    <x v="27"/>
    <x v="27"/>
    <n v="4"/>
    <m/>
    <m/>
    <n v="1"/>
    <m/>
    <n v="3"/>
    <m/>
    <m/>
    <m/>
    <m/>
  </r>
  <r>
    <x v="28"/>
    <x v="28"/>
    <n v="3"/>
    <m/>
    <n v="1"/>
    <m/>
    <m/>
    <m/>
    <m/>
    <n v="2"/>
    <m/>
    <m/>
  </r>
  <r>
    <x v="37"/>
    <x v="36"/>
    <n v="3"/>
    <m/>
    <n v="3"/>
    <m/>
    <m/>
    <m/>
    <m/>
    <m/>
    <m/>
    <m/>
  </r>
  <r>
    <x v="9"/>
    <x v="9"/>
    <n v="3"/>
    <m/>
    <n v="2"/>
    <m/>
    <m/>
    <n v="1"/>
    <m/>
    <m/>
    <m/>
    <m/>
  </r>
  <r>
    <x v="9"/>
    <x v="9"/>
    <n v="1"/>
    <m/>
    <m/>
    <m/>
    <m/>
    <n v="1"/>
    <m/>
    <m/>
    <m/>
    <m/>
  </r>
  <r>
    <x v="22"/>
    <x v="22"/>
    <n v="2"/>
    <m/>
    <m/>
    <m/>
    <m/>
    <n v="1"/>
    <n v="1"/>
    <m/>
    <m/>
    <m/>
  </r>
  <r>
    <x v="14"/>
    <x v="14"/>
    <n v="1"/>
    <m/>
    <m/>
    <m/>
    <m/>
    <m/>
    <n v="1"/>
    <m/>
    <m/>
    <m/>
  </r>
  <r>
    <x v="33"/>
    <x v="32"/>
    <n v="1"/>
    <m/>
    <m/>
    <m/>
    <m/>
    <n v="1"/>
    <m/>
    <m/>
    <m/>
    <m/>
  </r>
  <r>
    <x v="18"/>
    <x v="18"/>
    <n v="2"/>
    <m/>
    <m/>
    <m/>
    <m/>
    <n v="2"/>
    <m/>
    <m/>
    <m/>
    <m/>
  </r>
  <r>
    <x v="30"/>
    <x v="28"/>
    <n v="3"/>
    <m/>
    <m/>
    <m/>
    <m/>
    <n v="3"/>
    <m/>
    <m/>
    <m/>
    <m/>
  </r>
  <r>
    <x v="16"/>
    <x v="16"/>
    <n v="4"/>
    <n v="1"/>
    <m/>
    <n v="1"/>
    <n v="1"/>
    <n v="1"/>
    <m/>
    <m/>
    <m/>
    <m/>
  </r>
  <r>
    <x v="12"/>
    <x v="12"/>
    <n v="2"/>
    <m/>
    <n v="1"/>
    <n v="1"/>
    <m/>
    <m/>
    <m/>
    <m/>
    <m/>
    <m/>
  </r>
  <r>
    <x v="38"/>
    <x v="37"/>
    <n v="1"/>
    <m/>
    <m/>
    <m/>
    <m/>
    <n v="1"/>
    <m/>
    <m/>
    <m/>
    <m/>
  </r>
  <r>
    <x v="11"/>
    <x v="11"/>
    <n v="1"/>
    <m/>
    <m/>
    <m/>
    <m/>
    <n v="1"/>
    <m/>
    <m/>
    <m/>
    <m/>
  </r>
  <r>
    <x v="0"/>
    <x v="0"/>
    <n v="1"/>
    <m/>
    <m/>
    <m/>
    <m/>
    <n v="1"/>
    <m/>
    <m/>
    <m/>
    <m/>
  </r>
  <r>
    <x v="5"/>
    <x v="5"/>
    <n v="3"/>
    <m/>
    <m/>
    <m/>
    <m/>
    <n v="2"/>
    <m/>
    <n v="1"/>
    <m/>
    <m/>
  </r>
  <r>
    <x v="25"/>
    <x v="25"/>
    <n v="2"/>
    <m/>
    <n v="2"/>
    <m/>
    <m/>
    <m/>
    <m/>
    <m/>
    <m/>
    <m/>
  </r>
  <r>
    <x v="5"/>
    <x v="5"/>
    <n v="9"/>
    <m/>
    <m/>
    <n v="2"/>
    <n v="7"/>
    <m/>
    <m/>
    <m/>
    <m/>
    <m/>
  </r>
  <r>
    <x v="37"/>
    <x v="36"/>
    <n v="4"/>
    <m/>
    <m/>
    <m/>
    <n v="3"/>
    <n v="1"/>
    <m/>
    <m/>
    <m/>
    <m/>
  </r>
  <r>
    <x v="25"/>
    <x v="25"/>
    <n v="2"/>
    <m/>
    <n v="1"/>
    <n v="1"/>
    <m/>
    <m/>
    <m/>
    <m/>
    <m/>
    <m/>
  </r>
  <r>
    <x v="9"/>
    <x v="9"/>
    <n v="1"/>
    <m/>
    <m/>
    <n v="1"/>
    <m/>
    <m/>
    <m/>
    <m/>
    <m/>
    <m/>
  </r>
  <r>
    <x v="14"/>
    <x v="14"/>
    <n v="1"/>
    <m/>
    <m/>
    <m/>
    <m/>
    <m/>
    <n v="1"/>
    <m/>
    <m/>
    <m/>
  </r>
  <r>
    <x v="1"/>
    <x v="1"/>
    <n v="3"/>
    <m/>
    <m/>
    <m/>
    <n v="3"/>
    <m/>
    <m/>
    <m/>
    <m/>
    <m/>
  </r>
  <r>
    <x v="45"/>
    <x v="44"/>
    <n v="2"/>
    <m/>
    <m/>
    <m/>
    <n v="1"/>
    <n v="1"/>
    <m/>
    <m/>
    <m/>
    <m/>
  </r>
  <r>
    <x v="37"/>
    <x v="36"/>
    <n v="2"/>
    <m/>
    <n v="1"/>
    <n v="1"/>
    <m/>
    <m/>
    <m/>
    <m/>
    <m/>
    <m/>
  </r>
  <r>
    <x v="16"/>
    <x v="16"/>
    <n v="5"/>
    <m/>
    <n v="2"/>
    <n v="2"/>
    <m/>
    <n v="1"/>
    <m/>
    <m/>
    <m/>
    <m/>
  </r>
  <r>
    <x v="9"/>
    <x v="9"/>
    <n v="3"/>
    <m/>
    <m/>
    <m/>
    <m/>
    <n v="3"/>
    <m/>
    <m/>
    <m/>
    <m/>
  </r>
  <r>
    <x v="38"/>
    <x v="37"/>
    <n v="4"/>
    <m/>
    <n v="1"/>
    <m/>
    <m/>
    <n v="3"/>
    <m/>
    <m/>
    <m/>
    <m/>
  </r>
  <r>
    <x v="45"/>
    <x v="44"/>
    <n v="1"/>
    <m/>
    <m/>
    <m/>
    <m/>
    <n v="1"/>
    <m/>
    <m/>
    <m/>
    <m/>
  </r>
  <r>
    <x v="25"/>
    <x v="25"/>
    <n v="2"/>
    <m/>
    <n v="1"/>
    <m/>
    <m/>
    <n v="1"/>
    <m/>
    <m/>
    <m/>
    <m/>
  </r>
  <r>
    <x v="16"/>
    <x v="16"/>
    <n v="4"/>
    <m/>
    <n v="3"/>
    <n v="1"/>
    <m/>
    <m/>
    <m/>
    <m/>
    <m/>
    <m/>
  </r>
  <r>
    <x v="46"/>
    <x v="45"/>
    <n v="5"/>
    <n v="1"/>
    <m/>
    <m/>
    <n v="2"/>
    <n v="2"/>
    <m/>
    <m/>
    <m/>
    <m/>
  </r>
  <r>
    <x v="33"/>
    <x v="32"/>
    <n v="6"/>
    <n v="1"/>
    <m/>
    <m/>
    <n v="1"/>
    <n v="4"/>
    <m/>
    <m/>
    <m/>
    <m/>
  </r>
  <r>
    <x v="32"/>
    <x v="31"/>
    <n v="2"/>
    <m/>
    <m/>
    <m/>
    <n v="1"/>
    <n v="1"/>
    <m/>
    <m/>
    <m/>
    <m/>
  </r>
  <r>
    <x v="20"/>
    <x v="20"/>
    <n v="2"/>
    <m/>
    <m/>
    <m/>
    <m/>
    <n v="2"/>
    <m/>
    <m/>
    <m/>
    <m/>
  </r>
  <r>
    <x v="20"/>
    <x v="20"/>
    <n v="2"/>
    <m/>
    <m/>
    <n v="1"/>
    <n v="1"/>
    <m/>
    <m/>
    <m/>
    <m/>
    <m/>
  </r>
  <r>
    <x v="22"/>
    <x v="22"/>
    <n v="5"/>
    <m/>
    <n v="1"/>
    <n v="3"/>
    <m/>
    <n v="1"/>
    <m/>
    <m/>
    <m/>
    <m/>
  </r>
  <r>
    <x v="40"/>
    <x v="39"/>
    <n v="1"/>
    <m/>
    <m/>
    <m/>
    <m/>
    <n v="1"/>
    <m/>
    <m/>
    <m/>
    <m/>
  </r>
  <r>
    <x v="20"/>
    <x v="20"/>
    <n v="1"/>
    <m/>
    <m/>
    <m/>
    <n v="1"/>
    <m/>
    <m/>
    <m/>
    <m/>
    <m/>
  </r>
  <r>
    <x v="33"/>
    <x v="32"/>
    <n v="4"/>
    <m/>
    <n v="1"/>
    <n v="1"/>
    <m/>
    <n v="2"/>
    <m/>
    <m/>
    <m/>
    <m/>
  </r>
  <r>
    <x v="14"/>
    <x v="14"/>
    <n v="1"/>
    <m/>
    <m/>
    <m/>
    <m/>
    <n v="1"/>
    <m/>
    <m/>
    <m/>
    <m/>
  </r>
  <r>
    <x v="22"/>
    <x v="22"/>
    <n v="5"/>
    <m/>
    <n v="2"/>
    <n v="2"/>
    <m/>
    <m/>
    <n v="1"/>
    <m/>
    <m/>
    <m/>
  </r>
  <r>
    <x v="9"/>
    <x v="9"/>
    <n v="4"/>
    <m/>
    <n v="1"/>
    <m/>
    <m/>
    <n v="2"/>
    <n v="1"/>
    <m/>
    <m/>
    <m/>
  </r>
  <r>
    <x v="20"/>
    <x v="20"/>
    <n v="4"/>
    <n v="1"/>
    <m/>
    <m/>
    <m/>
    <n v="2"/>
    <n v="1"/>
    <m/>
    <m/>
    <m/>
  </r>
  <r>
    <x v="47"/>
    <x v="46"/>
    <n v="1"/>
    <n v="1"/>
    <m/>
    <m/>
    <m/>
    <m/>
    <m/>
    <m/>
    <m/>
    <m/>
  </r>
  <r>
    <x v="23"/>
    <x v="23"/>
    <n v="1"/>
    <m/>
    <m/>
    <m/>
    <m/>
    <m/>
    <n v="1"/>
    <m/>
    <m/>
    <m/>
  </r>
  <r>
    <x v="22"/>
    <x v="22"/>
    <n v="4"/>
    <m/>
    <m/>
    <m/>
    <m/>
    <n v="3"/>
    <n v="1"/>
    <m/>
    <m/>
    <m/>
  </r>
  <r>
    <x v="5"/>
    <x v="5"/>
    <n v="7"/>
    <m/>
    <m/>
    <n v="2"/>
    <m/>
    <n v="2"/>
    <n v="3"/>
    <m/>
    <m/>
    <m/>
  </r>
  <r>
    <x v="1"/>
    <x v="1"/>
    <n v="2"/>
    <m/>
    <m/>
    <m/>
    <m/>
    <m/>
    <n v="2"/>
    <m/>
    <m/>
    <m/>
  </r>
  <r>
    <x v="12"/>
    <x v="12"/>
    <n v="5"/>
    <m/>
    <m/>
    <m/>
    <n v="4"/>
    <n v="1"/>
    <m/>
    <m/>
    <m/>
    <m/>
  </r>
  <r>
    <x v="19"/>
    <x v="19"/>
    <n v="1"/>
    <m/>
    <m/>
    <m/>
    <m/>
    <n v="1"/>
    <m/>
    <m/>
    <m/>
    <m/>
  </r>
  <r>
    <x v="25"/>
    <x v="25"/>
    <n v="5"/>
    <m/>
    <m/>
    <m/>
    <m/>
    <n v="5"/>
    <m/>
    <m/>
    <m/>
    <m/>
  </r>
  <r>
    <x v="37"/>
    <x v="36"/>
    <n v="1"/>
    <m/>
    <n v="1"/>
    <m/>
    <m/>
    <m/>
    <m/>
    <m/>
    <m/>
    <m/>
  </r>
  <r>
    <x v="20"/>
    <x v="20"/>
    <n v="3"/>
    <m/>
    <m/>
    <m/>
    <n v="1"/>
    <n v="1"/>
    <m/>
    <n v="1"/>
    <m/>
    <m/>
  </r>
  <r>
    <x v="20"/>
    <x v="20"/>
    <n v="3"/>
    <m/>
    <m/>
    <n v="1"/>
    <m/>
    <m/>
    <n v="2"/>
    <m/>
    <m/>
    <m/>
  </r>
  <r>
    <x v="20"/>
    <x v="20"/>
    <n v="1"/>
    <m/>
    <m/>
    <m/>
    <m/>
    <n v="1"/>
    <m/>
    <m/>
    <m/>
    <m/>
  </r>
  <r>
    <x v="38"/>
    <x v="37"/>
    <n v="3"/>
    <m/>
    <m/>
    <m/>
    <m/>
    <n v="2"/>
    <n v="1"/>
    <m/>
    <m/>
    <m/>
  </r>
  <r>
    <x v="33"/>
    <x v="32"/>
    <n v="6"/>
    <m/>
    <n v="2"/>
    <m/>
    <m/>
    <n v="3"/>
    <n v="1"/>
    <m/>
    <m/>
    <m/>
  </r>
  <r>
    <x v="1"/>
    <x v="1"/>
    <n v="7"/>
    <m/>
    <n v="1"/>
    <n v="1"/>
    <n v="2"/>
    <n v="1"/>
    <m/>
    <n v="2"/>
    <m/>
    <m/>
  </r>
  <r>
    <x v="16"/>
    <x v="16"/>
    <n v="4"/>
    <m/>
    <n v="3"/>
    <m/>
    <m/>
    <n v="1"/>
    <m/>
    <m/>
    <m/>
    <m/>
  </r>
  <r>
    <x v="9"/>
    <x v="9"/>
    <n v="2"/>
    <m/>
    <m/>
    <n v="1"/>
    <m/>
    <n v="1"/>
    <m/>
    <m/>
    <m/>
    <m/>
  </r>
  <r>
    <x v="22"/>
    <x v="22"/>
    <n v="2"/>
    <m/>
    <m/>
    <m/>
    <m/>
    <n v="2"/>
    <m/>
    <m/>
    <m/>
    <m/>
  </r>
  <r>
    <x v="1"/>
    <x v="1"/>
    <n v="13"/>
    <m/>
    <m/>
    <n v="1"/>
    <n v="6"/>
    <n v="5"/>
    <n v="1"/>
    <m/>
    <m/>
    <m/>
  </r>
  <r>
    <x v="19"/>
    <x v="19"/>
    <n v="1"/>
    <m/>
    <n v="1"/>
    <m/>
    <m/>
    <m/>
    <m/>
    <m/>
    <m/>
    <m/>
  </r>
  <r>
    <x v="25"/>
    <x v="25"/>
    <n v="3"/>
    <m/>
    <n v="1"/>
    <n v="1"/>
    <m/>
    <n v="1"/>
    <m/>
    <m/>
    <m/>
    <m/>
  </r>
  <r>
    <x v="23"/>
    <x v="23"/>
    <n v="1"/>
    <m/>
    <m/>
    <m/>
    <m/>
    <n v="1"/>
    <m/>
    <m/>
    <m/>
    <m/>
  </r>
  <r>
    <x v="20"/>
    <x v="20"/>
    <n v="2"/>
    <m/>
    <n v="1"/>
    <m/>
    <m/>
    <m/>
    <n v="1"/>
    <m/>
    <m/>
    <m/>
  </r>
  <r>
    <x v="10"/>
    <x v="10"/>
    <n v="20"/>
    <n v="1"/>
    <m/>
    <m/>
    <n v="7"/>
    <n v="5"/>
    <n v="2"/>
    <n v="5"/>
    <m/>
    <m/>
  </r>
  <r>
    <x v="9"/>
    <x v="9"/>
    <n v="5"/>
    <m/>
    <m/>
    <m/>
    <n v="1"/>
    <n v="3"/>
    <n v="1"/>
    <m/>
    <m/>
    <m/>
  </r>
  <r>
    <x v="1"/>
    <x v="1"/>
    <n v="2"/>
    <m/>
    <m/>
    <m/>
    <m/>
    <n v="2"/>
    <m/>
    <m/>
    <m/>
    <m/>
  </r>
  <r>
    <x v="13"/>
    <x v="13"/>
    <n v="2"/>
    <m/>
    <m/>
    <m/>
    <m/>
    <n v="2"/>
    <m/>
    <m/>
    <m/>
    <m/>
  </r>
  <r>
    <x v="14"/>
    <x v="14"/>
    <n v="1"/>
    <m/>
    <m/>
    <m/>
    <m/>
    <n v="1"/>
    <m/>
    <m/>
    <m/>
    <m/>
  </r>
  <r>
    <x v="31"/>
    <x v="30"/>
    <n v="1"/>
    <m/>
    <m/>
    <m/>
    <m/>
    <n v="1"/>
    <m/>
    <m/>
    <m/>
    <m/>
  </r>
  <r>
    <x v="22"/>
    <x v="22"/>
    <n v="6"/>
    <n v="1"/>
    <m/>
    <n v="2"/>
    <n v="3"/>
    <m/>
    <m/>
    <m/>
    <m/>
    <m/>
  </r>
  <r>
    <x v="5"/>
    <x v="5"/>
    <n v="12"/>
    <n v="1"/>
    <m/>
    <m/>
    <n v="5"/>
    <n v="3"/>
    <n v="2"/>
    <n v="1"/>
    <m/>
    <m/>
  </r>
  <r>
    <x v="16"/>
    <x v="16"/>
    <n v="3"/>
    <m/>
    <m/>
    <m/>
    <m/>
    <n v="2"/>
    <n v="1"/>
    <m/>
    <m/>
    <m/>
  </r>
  <r>
    <x v="12"/>
    <x v="12"/>
    <n v="10"/>
    <n v="1"/>
    <n v="2"/>
    <m/>
    <n v="6"/>
    <m/>
    <m/>
    <n v="1"/>
    <m/>
    <m/>
  </r>
  <r>
    <x v="25"/>
    <x v="25"/>
    <n v="5"/>
    <m/>
    <n v="3"/>
    <m/>
    <m/>
    <n v="1"/>
    <n v="1"/>
    <m/>
    <m/>
    <m/>
  </r>
  <r>
    <x v="27"/>
    <x v="27"/>
    <n v="2"/>
    <m/>
    <m/>
    <n v="1"/>
    <m/>
    <n v="1"/>
    <m/>
    <m/>
    <m/>
    <m/>
  </r>
  <r>
    <x v="10"/>
    <x v="10"/>
    <n v="7"/>
    <m/>
    <n v="1"/>
    <m/>
    <n v="4"/>
    <n v="2"/>
    <m/>
    <m/>
    <m/>
    <m/>
  </r>
  <r>
    <x v="38"/>
    <x v="37"/>
    <n v="4"/>
    <m/>
    <m/>
    <m/>
    <m/>
    <n v="3"/>
    <m/>
    <n v="1"/>
    <m/>
    <m/>
  </r>
  <r>
    <x v="16"/>
    <x v="16"/>
    <n v="1"/>
    <m/>
    <m/>
    <m/>
    <m/>
    <n v="1"/>
    <m/>
    <m/>
    <m/>
    <m/>
  </r>
  <r>
    <x v="1"/>
    <x v="1"/>
    <n v="7"/>
    <m/>
    <m/>
    <m/>
    <n v="7"/>
    <m/>
    <m/>
    <m/>
    <m/>
    <m/>
  </r>
  <r>
    <x v="13"/>
    <x v="13"/>
    <n v="7"/>
    <m/>
    <m/>
    <m/>
    <n v="7"/>
    <m/>
    <m/>
    <m/>
    <m/>
    <m/>
  </r>
  <r>
    <x v="14"/>
    <x v="14"/>
    <n v="7"/>
    <m/>
    <m/>
    <m/>
    <n v="7"/>
    <m/>
    <m/>
    <m/>
    <m/>
    <m/>
  </r>
  <r>
    <x v="31"/>
    <x v="30"/>
    <n v="4"/>
    <m/>
    <m/>
    <m/>
    <n v="4"/>
    <m/>
    <m/>
    <m/>
    <m/>
    <m/>
  </r>
  <r>
    <x v="1"/>
    <x v="1"/>
    <n v="5"/>
    <m/>
    <m/>
    <n v="1"/>
    <n v="2"/>
    <n v="1"/>
    <m/>
    <n v="1"/>
    <m/>
    <m/>
  </r>
  <r>
    <x v="13"/>
    <x v="13"/>
    <n v="4"/>
    <m/>
    <m/>
    <n v="1"/>
    <n v="2"/>
    <m/>
    <m/>
    <n v="1"/>
    <m/>
    <m/>
  </r>
  <r>
    <x v="14"/>
    <x v="14"/>
    <n v="4"/>
    <m/>
    <m/>
    <n v="1"/>
    <n v="2"/>
    <m/>
    <m/>
    <n v="1"/>
    <m/>
    <m/>
  </r>
  <r>
    <x v="31"/>
    <x v="30"/>
    <n v="4"/>
    <m/>
    <m/>
    <n v="1"/>
    <n v="2"/>
    <m/>
    <m/>
    <n v="1"/>
    <m/>
    <m/>
  </r>
  <r>
    <x v="18"/>
    <x v="18"/>
    <n v="12"/>
    <m/>
    <m/>
    <m/>
    <m/>
    <n v="12"/>
    <m/>
    <m/>
    <m/>
    <m/>
  </r>
  <r>
    <x v="5"/>
    <x v="5"/>
    <n v="3"/>
    <m/>
    <n v="1"/>
    <n v="1"/>
    <m/>
    <n v="1"/>
    <m/>
    <m/>
    <m/>
    <m/>
  </r>
  <r>
    <x v="40"/>
    <x v="39"/>
    <n v="1"/>
    <m/>
    <m/>
    <m/>
    <m/>
    <n v="1"/>
    <m/>
    <m/>
    <m/>
    <m/>
  </r>
  <r>
    <x v="5"/>
    <x v="5"/>
    <n v="3"/>
    <m/>
    <m/>
    <m/>
    <m/>
    <n v="1"/>
    <n v="1"/>
    <m/>
    <m/>
    <n v="1"/>
  </r>
  <r>
    <x v="22"/>
    <x v="22"/>
    <n v="3"/>
    <m/>
    <m/>
    <m/>
    <m/>
    <n v="3"/>
    <m/>
    <m/>
    <m/>
    <m/>
  </r>
  <r>
    <x v="37"/>
    <x v="36"/>
    <n v="1"/>
    <m/>
    <n v="1"/>
    <m/>
    <m/>
    <m/>
    <m/>
    <m/>
    <m/>
    <m/>
  </r>
  <r>
    <x v="18"/>
    <x v="18"/>
    <n v="2"/>
    <m/>
    <m/>
    <m/>
    <n v="1"/>
    <n v="1"/>
    <m/>
    <m/>
    <m/>
    <m/>
  </r>
  <r>
    <x v="16"/>
    <x v="16"/>
    <n v="2"/>
    <m/>
    <m/>
    <m/>
    <m/>
    <n v="1"/>
    <n v="1"/>
    <m/>
    <m/>
    <m/>
  </r>
  <r>
    <x v="28"/>
    <x v="28"/>
    <n v="2"/>
    <m/>
    <m/>
    <n v="1"/>
    <m/>
    <m/>
    <m/>
    <n v="1"/>
    <m/>
    <m/>
  </r>
  <r>
    <x v="33"/>
    <x v="32"/>
    <n v="5"/>
    <m/>
    <n v="1"/>
    <m/>
    <m/>
    <n v="3"/>
    <n v="1"/>
    <m/>
    <m/>
    <m/>
  </r>
  <r>
    <x v="25"/>
    <x v="25"/>
    <n v="2"/>
    <m/>
    <m/>
    <m/>
    <m/>
    <n v="1"/>
    <m/>
    <n v="1"/>
    <m/>
    <m/>
  </r>
  <r>
    <x v="9"/>
    <x v="9"/>
    <n v="6"/>
    <m/>
    <m/>
    <m/>
    <m/>
    <n v="4"/>
    <n v="2"/>
    <m/>
    <m/>
    <m/>
  </r>
  <r>
    <x v="12"/>
    <x v="12"/>
    <n v="3"/>
    <m/>
    <m/>
    <n v="2"/>
    <m/>
    <n v="1"/>
    <m/>
    <m/>
    <m/>
    <m/>
  </r>
  <r>
    <x v="5"/>
    <x v="5"/>
    <n v="3"/>
    <m/>
    <n v="1"/>
    <m/>
    <m/>
    <n v="1"/>
    <n v="1"/>
    <m/>
    <m/>
    <m/>
  </r>
  <r>
    <x v="11"/>
    <x v="11"/>
    <n v="3"/>
    <m/>
    <n v="1"/>
    <m/>
    <m/>
    <n v="2"/>
    <m/>
    <m/>
    <m/>
    <m/>
  </r>
  <r>
    <x v="0"/>
    <x v="0"/>
    <n v="3"/>
    <m/>
    <n v="1"/>
    <m/>
    <m/>
    <n v="2"/>
    <m/>
    <m/>
    <m/>
    <m/>
  </r>
  <r>
    <x v="22"/>
    <x v="22"/>
    <n v="10"/>
    <m/>
    <m/>
    <m/>
    <n v="6"/>
    <n v="2"/>
    <m/>
    <n v="2"/>
    <m/>
    <m/>
  </r>
  <r>
    <x v="1"/>
    <x v="1"/>
    <n v="1"/>
    <m/>
    <m/>
    <m/>
    <m/>
    <m/>
    <n v="1"/>
    <m/>
    <m/>
    <m/>
  </r>
  <r>
    <x v="16"/>
    <x v="16"/>
    <n v="6"/>
    <m/>
    <n v="1"/>
    <n v="2"/>
    <m/>
    <n v="2"/>
    <m/>
    <n v="1"/>
    <m/>
    <m/>
  </r>
  <r>
    <x v="14"/>
    <x v="14"/>
    <n v="2"/>
    <m/>
    <m/>
    <m/>
    <m/>
    <n v="1"/>
    <n v="1"/>
    <m/>
    <m/>
    <m/>
  </r>
  <r>
    <x v="11"/>
    <x v="11"/>
    <n v="4"/>
    <m/>
    <m/>
    <m/>
    <m/>
    <n v="2"/>
    <n v="2"/>
    <m/>
    <m/>
    <m/>
  </r>
  <r>
    <x v="0"/>
    <x v="0"/>
    <n v="4"/>
    <m/>
    <m/>
    <m/>
    <m/>
    <n v="2"/>
    <n v="2"/>
    <m/>
    <m/>
    <m/>
  </r>
  <r>
    <x v="40"/>
    <x v="39"/>
    <n v="1"/>
    <m/>
    <m/>
    <m/>
    <m/>
    <n v="1"/>
    <m/>
    <m/>
    <m/>
    <m/>
  </r>
  <r>
    <x v="10"/>
    <x v="10"/>
    <n v="8"/>
    <m/>
    <m/>
    <n v="1"/>
    <m/>
    <n v="2"/>
    <n v="2"/>
    <n v="3"/>
    <m/>
    <m/>
  </r>
  <r>
    <x v="5"/>
    <x v="5"/>
    <n v="1"/>
    <m/>
    <n v="1"/>
    <m/>
    <m/>
    <m/>
    <m/>
    <m/>
    <m/>
    <m/>
  </r>
  <r>
    <x v="28"/>
    <x v="28"/>
    <n v="1"/>
    <m/>
    <m/>
    <n v="1"/>
    <m/>
    <m/>
    <m/>
    <m/>
    <m/>
    <m/>
  </r>
  <r>
    <x v="1"/>
    <x v="1"/>
    <n v="1"/>
    <m/>
    <m/>
    <m/>
    <n v="1"/>
    <m/>
    <m/>
    <m/>
    <m/>
    <m/>
  </r>
  <r>
    <x v="27"/>
    <x v="27"/>
    <n v="1"/>
    <m/>
    <m/>
    <m/>
    <n v="1"/>
    <m/>
    <m/>
    <m/>
    <m/>
    <m/>
  </r>
  <r>
    <x v="23"/>
    <x v="23"/>
    <n v="1"/>
    <m/>
    <m/>
    <m/>
    <m/>
    <n v="1"/>
    <m/>
    <m/>
    <m/>
    <m/>
  </r>
  <r>
    <x v="14"/>
    <x v="14"/>
    <n v="7"/>
    <n v="1"/>
    <m/>
    <n v="1"/>
    <n v="2"/>
    <n v="2"/>
    <n v="1"/>
    <m/>
    <m/>
    <m/>
  </r>
  <r>
    <x v="16"/>
    <x v="16"/>
    <n v="10"/>
    <m/>
    <n v="1"/>
    <m/>
    <m/>
    <n v="8"/>
    <n v="1"/>
    <m/>
    <m/>
    <m/>
  </r>
  <r>
    <x v="22"/>
    <x v="22"/>
    <n v="2"/>
    <m/>
    <n v="1"/>
    <m/>
    <m/>
    <n v="1"/>
    <m/>
    <m/>
    <m/>
    <m/>
  </r>
  <r>
    <x v="10"/>
    <x v="10"/>
    <n v="14"/>
    <m/>
    <n v="2"/>
    <n v="1"/>
    <m/>
    <n v="4"/>
    <n v="2"/>
    <n v="5"/>
    <m/>
    <m/>
  </r>
  <r>
    <x v="12"/>
    <x v="12"/>
    <n v="4"/>
    <m/>
    <n v="1"/>
    <m/>
    <n v="3"/>
    <m/>
    <m/>
    <m/>
    <m/>
    <m/>
  </r>
  <r>
    <x v="27"/>
    <x v="27"/>
    <n v="2"/>
    <m/>
    <m/>
    <n v="1"/>
    <m/>
    <n v="1"/>
    <m/>
    <m/>
    <m/>
    <m/>
  </r>
  <r>
    <x v="1"/>
    <x v="1"/>
    <n v="3"/>
    <m/>
    <m/>
    <n v="1"/>
    <m/>
    <n v="2"/>
    <m/>
    <m/>
    <m/>
    <m/>
  </r>
  <r>
    <x v="40"/>
    <x v="39"/>
    <n v="1"/>
    <m/>
    <m/>
    <m/>
    <m/>
    <m/>
    <n v="1"/>
    <m/>
    <m/>
    <m/>
  </r>
  <r>
    <x v="22"/>
    <x v="22"/>
    <n v="8"/>
    <m/>
    <m/>
    <m/>
    <n v="6"/>
    <n v="2"/>
    <m/>
    <m/>
    <m/>
    <m/>
  </r>
  <r>
    <x v="5"/>
    <x v="5"/>
    <n v="3"/>
    <m/>
    <n v="1"/>
    <m/>
    <m/>
    <n v="1"/>
    <n v="1"/>
    <m/>
    <m/>
    <m/>
  </r>
  <r>
    <x v="16"/>
    <x v="16"/>
    <n v="2"/>
    <m/>
    <m/>
    <m/>
    <m/>
    <n v="1"/>
    <n v="1"/>
    <m/>
    <m/>
    <m/>
  </r>
  <r>
    <x v="40"/>
    <x v="39"/>
    <n v="2"/>
    <m/>
    <m/>
    <m/>
    <m/>
    <n v="2"/>
    <m/>
    <m/>
    <m/>
    <m/>
  </r>
  <r>
    <x v="25"/>
    <x v="25"/>
    <n v="10"/>
    <n v="2"/>
    <m/>
    <n v="1"/>
    <m/>
    <n v="7"/>
    <m/>
    <m/>
    <m/>
    <m/>
  </r>
  <r>
    <x v="9"/>
    <x v="9"/>
    <n v="4"/>
    <m/>
    <n v="1"/>
    <m/>
    <m/>
    <n v="3"/>
    <m/>
    <m/>
    <m/>
    <m/>
  </r>
  <r>
    <x v="16"/>
    <x v="16"/>
    <n v="1"/>
    <m/>
    <m/>
    <m/>
    <m/>
    <n v="1"/>
    <m/>
    <m/>
    <m/>
    <m/>
  </r>
  <r>
    <x v="22"/>
    <x v="22"/>
    <n v="3"/>
    <m/>
    <m/>
    <m/>
    <m/>
    <n v="2"/>
    <n v="1"/>
    <m/>
    <m/>
    <m/>
  </r>
  <r>
    <x v="14"/>
    <x v="14"/>
    <n v="2"/>
    <m/>
    <m/>
    <m/>
    <m/>
    <n v="1"/>
    <n v="1"/>
    <m/>
    <m/>
    <m/>
  </r>
  <r>
    <x v="16"/>
    <x v="16"/>
    <n v="6"/>
    <m/>
    <n v="1"/>
    <m/>
    <n v="4"/>
    <n v="1"/>
    <m/>
    <m/>
    <m/>
    <m/>
  </r>
  <r>
    <x v="22"/>
    <x v="22"/>
    <n v="8"/>
    <m/>
    <m/>
    <m/>
    <n v="4"/>
    <n v="3"/>
    <n v="1"/>
    <m/>
    <m/>
    <m/>
  </r>
  <r>
    <x v="48"/>
    <x v="47"/>
    <n v="2"/>
    <m/>
    <m/>
    <m/>
    <m/>
    <n v="1"/>
    <m/>
    <m/>
    <n v="1"/>
    <m/>
  </r>
  <r>
    <x v="1"/>
    <x v="1"/>
    <n v="2"/>
    <m/>
    <m/>
    <m/>
    <n v="1"/>
    <n v="1"/>
    <m/>
    <m/>
    <m/>
    <m/>
  </r>
  <r>
    <x v="18"/>
    <x v="18"/>
    <n v="2"/>
    <m/>
    <n v="1"/>
    <m/>
    <m/>
    <n v="1"/>
    <m/>
    <m/>
    <m/>
    <m/>
  </r>
  <r>
    <x v="10"/>
    <x v="10"/>
    <n v="3"/>
    <m/>
    <m/>
    <n v="1"/>
    <m/>
    <n v="1"/>
    <m/>
    <n v="1"/>
    <m/>
    <m/>
  </r>
  <r>
    <x v="38"/>
    <x v="37"/>
    <n v="7"/>
    <m/>
    <m/>
    <m/>
    <m/>
    <n v="3"/>
    <n v="3"/>
    <n v="1"/>
    <m/>
    <m/>
  </r>
  <r>
    <x v="16"/>
    <x v="16"/>
    <n v="7"/>
    <m/>
    <n v="1"/>
    <m/>
    <n v="3"/>
    <n v="2"/>
    <m/>
    <n v="1"/>
    <m/>
    <m/>
  </r>
  <r>
    <x v="5"/>
    <x v="5"/>
    <n v="15"/>
    <m/>
    <n v="1"/>
    <m/>
    <n v="11"/>
    <n v="2"/>
    <m/>
    <n v="1"/>
    <m/>
    <m/>
  </r>
  <r>
    <x v="22"/>
    <x v="22"/>
    <n v="4"/>
    <m/>
    <n v="2"/>
    <n v="2"/>
    <m/>
    <m/>
    <m/>
    <m/>
    <m/>
    <m/>
  </r>
  <r>
    <x v="13"/>
    <x v="13"/>
    <n v="3"/>
    <m/>
    <n v="1"/>
    <m/>
    <m/>
    <n v="1"/>
    <n v="1"/>
    <m/>
    <m/>
    <m/>
  </r>
  <r>
    <x v="38"/>
    <x v="37"/>
    <n v="3"/>
    <m/>
    <m/>
    <m/>
    <m/>
    <n v="1"/>
    <n v="2"/>
    <m/>
    <m/>
    <m/>
  </r>
  <r>
    <x v="33"/>
    <x v="32"/>
    <n v="4"/>
    <m/>
    <m/>
    <m/>
    <m/>
    <n v="2"/>
    <n v="2"/>
    <m/>
    <m/>
    <m/>
  </r>
  <r>
    <x v="16"/>
    <x v="16"/>
    <n v="11"/>
    <m/>
    <m/>
    <m/>
    <n v="5"/>
    <n v="3"/>
    <n v="2"/>
    <n v="1"/>
    <m/>
    <m/>
  </r>
  <r>
    <x v="12"/>
    <x v="12"/>
    <n v="27"/>
    <m/>
    <n v="2"/>
    <n v="3"/>
    <n v="10"/>
    <n v="6"/>
    <n v="2"/>
    <n v="4"/>
    <m/>
    <m/>
  </r>
  <r>
    <x v="49"/>
    <x v="48"/>
    <n v="3"/>
    <m/>
    <n v="1"/>
    <m/>
    <m/>
    <n v="2"/>
    <m/>
    <m/>
    <m/>
    <m/>
  </r>
  <r>
    <x v="25"/>
    <x v="25"/>
    <n v="4"/>
    <m/>
    <n v="1"/>
    <m/>
    <m/>
    <n v="3"/>
    <m/>
    <m/>
    <m/>
    <m/>
  </r>
  <r>
    <x v="20"/>
    <x v="20"/>
    <n v="8"/>
    <m/>
    <n v="1"/>
    <m/>
    <n v="1"/>
    <n v="5"/>
    <n v="1"/>
    <m/>
    <m/>
    <m/>
  </r>
  <r>
    <x v="23"/>
    <x v="23"/>
    <n v="5"/>
    <m/>
    <m/>
    <n v="1"/>
    <m/>
    <n v="2"/>
    <n v="1"/>
    <n v="1"/>
    <m/>
    <m/>
  </r>
  <r>
    <x v="22"/>
    <x v="22"/>
    <n v="1"/>
    <m/>
    <m/>
    <m/>
    <m/>
    <m/>
    <n v="1"/>
    <m/>
    <m/>
    <m/>
  </r>
  <r>
    <x v="20"/>
    <x v="20"/>
    <n v="4"/>
    <m/>
    <m/>
    <m/>
    <n v="2"/>
    <n v="2"/>
    <m/>
    <m/>
    <m/>
    <m/>
  </r>
  <r>
    <x v="33"/>
    <x v="32"/>
    <n v="4"/>
    <m/>
    <m/>
    <m/>
    <m/>
    <n v="4"/>
    <m/>
    <m/>
    <m/>
    <m/>
  </r>
  <r>
    <x v="16"/>
    <x v="16"/>
    <n v="5"/>
    <m/>
    <m/>
    <n v="1"/>
    <n v="2"/>
    <n v="2"/>
    <m/>
    <m/>
    <m/>
    <m/>
  </r>
  <r>
    <x v="40"/>
    <x v="39"/>
    <n v="1"/>
    <m/>
    <m/>
    <m/>
    <m/>
    <n v="1"/>
    <m/>
    <m/>
    <m/>
    <m/>
  </r>
  <r>
    <x v="16"/>
    <x v="16"/>
    <n v="6"/>
    <m/>
    <m/>
    <m/>
    <n v="4"/>
    <n v="2"/>
    <m/>
    <m/>
    <m/>
    <m/>
  </r>
  <r>
    <x v="20"/>
    <x v="20"/>
    <n v="5"/>
    <m/>
    <n v="2"/>
    <m/>
    <m/>
    <n v="3"/>
    <m/>
    <m/>
    <m/>
    <m/>
  </r>
  <r>
    <x v="48"/>
    <x v="47"/>
    <n v="2"/>
    <n v="1"/>
    <m/>
    <m/>
    <n v="1"/>
    <m/>
    <m/>
    <m/>
    <m/>
    <m/>
  </r>
  <r>
    <x v="16"/>
    <x v="16"/>
    <n v="4"/>
    <m/>
    <m/>
    <m/>
    <m/>
    <n v="3"/>
    <n v="1"/>
    <m/>
    <m/>
    <m/>
  </r>
  <r>
    <x v="12"/>
    <x v="12"/>
    <n v="6"/>
    <m/>
    <n v="1"/>
    <m/>
    <n v="2"/>
    <n v="1"/>
    <n v="1"/>
    <n v="1"/>
    <m/>
    <m/>
  </r>
  <r>
    <x v="23"/>
    <x v="23"/>
    <n v="1"/>
    <m/>
    <m/>
    <m/>
    <m/>
    <n v="1"/>
    <m/>
    <m/>
    <m/>
    <m/>
  </r>
  <r>
    <x v="12"/>
    <x v="12"/>
    <n v="1"/>
    <m/>
    <n v="1"/>
    <m/>
    <m/>
    <m/>
    <m/>
    <m/>
    <m/>
    <m/>
  </r>
  <r>
    <x v="5"/>
    <x v="5"/>
    <n v="7"/>
    <m/>
    <n v="2"/>
    <n v="2"/>
    <m/>
    <n v="2"/>
    <n v="1"/>
    <m/>
    <m/>
    <m/>
  </r>
  <r>
    <x v="40"/>
    <x v="39"/>
    <n v="7"/>
    <m/>
    <n v="1"/>
    <m/>
    <m/>
    <n v="3"/>
    <m/>
    <n v="3"/>
    <m/>
    <m/>
  </r>
  <r>
    <x v="0"/>
    <x v="0"/>
    <n v="1"/>
    <m/>
    <m/>
    <n v="1"/>
    <m/>
    <m/>
    <m/>
    <m/>
    <m/>
    <m/>
  </r>
  <r>
    <x v="5"/>
    <x v="5"/>
    <n v="4"/>
    <m/>
    <m/>
    <m/>
    <m/>
    <n v="4"/>
    <m/>
    <m/>
    <m/>
    <m/>
  </r>
  <r>
    <x v="5"/>
    <x v="5"/>
    <n v="7"/>
    <n v="1"/>
    <m/>
    <n v="1"/>
    <m/>
    <n v="3"/>
    <n v="2"/>
    <m/>
    <m/>
    <m/>
  </r>
  <r>
    <x v="22"/>
    <x v="22"/>
    <n v="10"/>
    <m/>
    <n v="2"/>
    <n v="2"/>
    <m/>
    <n v="5"/>
    <m/>
    <n v="1"/>
    <m/>
    <m/>
  </r>
  <r>
    <x v="10"/>
    <x v="10"/>
    <n v="8"/>
    <m/>
    <m/>
    <n v="1"/>
    <m/>
    <n v="6"/>
    <n v="1"/>
    <m/>
    <m/>
    <m/>
  </r>
  <r>
    <x v="22"/>
    <x v="22"/>
    <n v="8"/>
    <m/>
    <n v="1"/>
    <m/>
    <m/>
    <n v="5"/>
    <n v="2"/>
    <m/>
    <m/>
    <m/>
  </r>
  <r>
    <x v="34"/>
    <x v="33"/>
    <n v="1"/>
    <m/>
    <m/>
    <m/>
    <m/>
    <m/>
    <n v="1"/>
    <m/>
    <m/>
    <m/>
  </r>
  <r>
    <x v="18"/>
    <x v="18"/>
    <n v="2"/>
    <m/>
    <m/>
    <n v="1"/>
    <m/>
    <n v="1"/>
    <m/>
    <m/>
    <m/>
    <m/>
  </r>
  <r>
    <x v="10"/>
    <x v="10"/>
    <n v="9"/>
    <m/>
    <m/>
    <m/>
    <m/>
    <n v="6"/>
    <m/>
    <n v="3"/>
    <m/>
    <m/>
  </r>
  <r>
    <x v="16"/>
    <x v="16"/>
    <n v="6"/>
    <m/>
    <n v="3"/>
    <m/>
    <m/>
    <n v="2"/>
    <n v="1"/>
    <m/>
    <m/>
    <m/>
  </r>
  <r>
    <x v="22"/>
    <x v="22"/>
    <n v="9"/>
    <m/>
    <n v="1"/>
    <n v="2"/>
    <m/>
    <n v="6"/>
    <m/>
    <m/>
    <m/>
    <m/>
  </r>
  <r>
    <x v="9"/>
    <x v="9"/>
    <n v="10"/>
    <m/>
    <n v="1"/>
    <n v="1"/>
    <n v="4"/>
    <n v="4"/>
    <m/>
    <m/>
    <m/>
    <m/>
  </r>
  <r>
    <x v="13"/>
    <x v="13"/>
    <n v="3"/>
    <m/>
    <m/>
    <m/>
    <m/>
    <n v="3"/>
    <m/>
    <m/>
    <m/>
    <m/>
  </r>
  <r>
    <x v="22"/>
    <x v="22"/>
    <n v="6"/>
    <m/>
    <m/>
    <n v="3"/>
    <m/>
    <n v="2"/>
    <n v="1"/>
    <m/>
    <m/>
    <m/>
  </r>
  <r>
    <x v="50"/>
    <x v="49"/>
    <n v="5"/>
    <n v="1"/>
    <m/>
    <m/>
    <n v="1"/>
    <n v="2"/>
    <n v="1"/>
    <m/>
    <m/>
    <m/>
  </r>
  <r>
    <x v="12"/>
    <x v="12"/>
    <n v="12"/>
    <m/>
    <m/>
    <n v="1"/>
    <n v="8"/>
    <n v="1"/>
    <m/>
    <n v="2"/>
    <m/>
    <m/>
  </r>
  <r>
    <x v="33"/>
    <x v="32"/>
    <n v="8"/>
    <m/>
    <n v="1"/>
    <m/>
    <m/>
    <n v="6"/>
    <n v="1"/>
    <m/>
    <m/>
    <m/>
  </r>
  <r>
    <x v="28"/>
    <x v="28"/>
    <n v="1"/>
    <m/>
    <m/>
    <m/>
    <m/>
    <m/>
    <n v="1"/>
    <m/>
    <m/>
    <m/>
  </r>
  <r>
    <x v="12"/>
    <x v="12"/>
    <n v="4"/>
    <m/>
    <m/>
    <m/>
    <m/>
    <n v="2"/>
    <n v="2"/>
    <m/>
    <m/>
    <m/>
  </r>
  <r>
    <x v="27"/>
    <x v="27"/>
    <n v="1"/>
    <m/>
    <m/>
    <m/>
    <m/>
    <n v="1"/>
    <m/>
    <m/>
    <m/>
    <m/>
  </r>
  <r>
    <x v="13"/>
    <x v="13"/>
    <n v="3"/>
    <m/>
    <m/>
    <n v="1"/>
    <m/>
    <n v="2"/>
    <m/>
    <m/>
    <m/>
    <m/>
  </r>
  <r>
    <x v="10"/>
    <x v="10"/>
    <n v="5"/>
    <m/>
    <m/>
    <m/>
    <m/>
    <n v="4"/>
    <n v="1"/>
    <m/>
    <m/>
    <m/>
  </r>
  <r>
    <x v="20"/>
    <x v="20"/>
    <n v="6"/>
    <m/>
    <m/>
    <m/>
    <n v="1"/>
    <n v="3"/>
    <n v="1"/>
    <n v="1"/>
    <m/>
    <m/>
  </r>
  <r>
    <x v="38"/>
    <x v="37"/>
    <n v="1"/>
    <m/>
    <m/>
    <m/>
    <m/>
    <n v="1"/>
    <m/>
    <m/>
    <m/>
    <m/>
  </r>
  <r>
    <x v="25"/>
    <x v="25"/>
    <n v="5"/>
    <m/>
    <n v="1"/>
    <n v="1"/>
    <m/>
    <n v="3"/>
    <m/>
    <m/>
    <m/>
    <m/>
  </r>
  <r>
    <x v="18"/>
    <x v="18"/>
    <n v="4"/>
    <m/>
    <m/>
    <m/>
    <m/>
    <n v="4"/>
    <m/>
    <m/>
    <m/>
    <m/>
  </r>
  <r>
    <x v="30"/>
    <x v="28"/>
    <n v="1"/>
    <m/>
    <m/>
    <n v="1"/>
    <m/>
    <m/>
    <m/>
    <m/>
    <m/>
    <m/>
  </r>
  <r>
    <x v="5"/>
    <x v="5"/>
    <n v="3"/>
    <m/>
    <m/>
    <m/>
    <m/>
    <n v="1"/>
    <n v="2"/>
    <m/>
    <m/>
    <m/>
  </r>
  <r>
    <x v="11"/>
    <x v="11"/>
    <n v="2"/>
    <m/>
    <m/>
    <m/>
    <m/>
    <m/>
    <n v="2"/>
    <m/>
    <m/>
    <m/>
  </r>
  <r>
    <x v="33"/>
    <x v="32"/>
    <n v="6"/>
    <m/>
    <m/>
    <m/>
    <m/>
    <n v="5"/>
    <n v="1"/>
    <m/>
    <m/>
    <m/>
  </r>
  <r>
    <x v="41"/>
    <x v="40"/>
    <n v="2"/>
    <m/>
    <m/>
    <m/>
    <m/>
    <n v="1"/>
    <m/>
    <n v="1"/>
    <m/>
    <m/>
  </r>
  <r>
    <x v="48"/>
    <x v="47"/>
    <n v="2"/>
    <m/>
    <m/>
    <m/>
    <m/>
    <n v="1"/>
    <m/>
    <n v="1"/>
    <m/>
    <m/>
  </r>
  <r>
    <x v="13"/>
    <x v="13"/>
    <n v="2"/>
    <m/>
    <m/>
    <m/>
    <m/>
    <n v="1"/>
    <n v="1"/>
    <m/>
    <m/>
    <m/>
  </r>
  <r>
    <x v="16"/>
    <x v="16"/>
    <n v="8"/>
    <m/>
    <n v="2"/>
    <n v="1"/>
    <m/>
    <n v="5"/>
    <m/>
    <m/>
    <m/>
    <m/>
  </r>
  <r>
    <x v="50"/>
    <x v="49"/>
    <n v="3"/>
    <m/>
    <m/>
    <m/>
    <n v="1"/>
    <n v="1"/>
    <n v="1"/>
    <m/>
    <m/>
    <m/>
  </r>
  <r>
    <x v="22"/>
    <x v="22"/>
    <n v="9"/>
    <m/>
    <m/>
    <n v="1"/>
    <n v="7"/>
    <n v="1"/>
    <m/>
    <m/>
    <m/>
    <m/>
  </r>
  <r>
    <x v="10"/>
    <x v="10"/>
    <n v="9"/>
    <m/>
    <m/>
    <n v="2"/>
    <n v="4"/>
    <n v="2"/>
    <n v="1"/>
    <m/>
    <m/>
    <m/>
  </r>
  <r>
    <x v="7"/>
    <x v="7"/>
    <n v="1"/>
    <m/>
    <n v="1"/>
    <m/>
    <m/>
    <m/>
    <m/>
    <m/>
    <m/>
    <m/>
  </r>
  <r>
    <x v="7"/>
    <x v="7"/>
    <n v="8"/>
    <m/>
    <n v="2"/>
    <n v="1"/>
    <n v="1"/>
    <n v="2"/>
    <n v="1"/>
    <n v="1"/>
    <m/>
    <m/>
  </r>
  <r>
    <x v="22"/>
    <x v="22"/>
    <n v="6"/>
    <m/>
    <m/>
    <n v="1"/>
    <n v="5"/>
    <m/>
    <m/>
    <m/>
    <m/>
    <m/>
  </r>
  <r>
    <x v="13"/>
    <x v="13"/>
    <n v="3"/>
    <n v="1"/>
    <m/>
    <m/>
    <n v="1"/>
    <n v="1"/>
    <m/>
    <m/>
    <m/>
    <m/>
  </r>
  <r>
    <x v="1"/>
    <x v="1"/>
    <n v="7"/>
    <m/>
    <m/>
    <n v="1"/>
    <n v="5"/>
    <n v="1"/>
    <m/>
    <m/>
    <m/>
    <m/>
  </r>
  <r>
    <x v="22"/>
    <x v="22"/>
    <n v="6"/>
    <m/>
    <m/>
    <n v="1"/>
    <n v="1"/>
    <n v="2"/>
    <m/>
    <n v="2"/>
    <m/>
    <m/>
  </r>
  <r>
    <x v="13"/>
    <x v="13"/>
    <n v="3"/>
    <m/>
    <m/>
    <m/>
    <n v="1"/>
    <m/>
    <m/>
    <n v="2"/>
    <m/>
    <m/>
  </r>
  <r>
    <x v="1"/>
    <x v="1"/>
    <n v="14"/>
    <m/>
    <n v="1"/>
    <m/>
    <n v="10"/>
    <n v="2"/>
    <m/>
    <n v="1"/>
    <m/>
    <m/>
  </r>
  <r>
    <x v="5"/>
    <x v="5"/>
    <n v="1"/>
    <m/>
    <m/>
    <m/>
    <m/>
    <n v="1"/>
    <m/>
    <m/>
    <m/>
    <m/>
  </r>
  <r>
    <x v="10"/>
    <x v="10"/>
    <n v="4"/>
    <m/>
    <m/>
    <m/>
    <m/>
    <n v="2"/>
    <n v="2"/>
    <m/>
    <m/>
    <m/>
  </r>
  <r>
    <x v="5"/>
    <x v="5"/>
    <n v="4"/>
    <m/>
    <n v="1"/>
    <n v="1"/>
    <m/>
    <n v="2"/>
    <m/>
    <m/>
    <m/>
    <m/>
  </r>
  <r>
    <x v="28"/>
    <x v="28"/>
    <n v="5"/>
    <n v="1"/>
    <n v="1"/>
    <m/>
    <n v="2"/>
    <n v="1"/>
    <m/>
    <m/>
    <m/>
    <m/>
  </r>
  <r>
    <x v="22"/>
    <x v="22"/>
    <n v="7"/>
    <m/>
    <m/>
    <n v="1"/>
    <m/>
    <n v="4"/>
    <m/>
    <n v="2"/>
    <m/>
    <m/>
  </r>
  <r>
    <x v="13"/>
    <x v="13"/>
    <n v="2"/>
    <m/>
    <m/>
    <m/>
    <n v="2"/>
    <m/>
    <m/>
    <m/>
    <m/>
    <m/>
  </r>
  <r>
    <x v="19"/>
    <x v="19"/>
    <n v="1"/>
    <m/>
    <m/>
    <m/>
    <m/>
    <n v="1"/>
    <m/>
    <m/>
    <m/>
    <m/>
  </r>
  <r>
    <x v="20"/>
    <x v="20"/>
    <n v="3"/>
    <m/>
    <n v="2"/>
    <m/>
    <m/>
    <m/>
    <n v="1"/>
    <m/>
    <m/>
    <m/>
  </r>
  <r>
    <x v="13"/>
    <x v="13"/>
    <n v="7"/>
    <m/>
    <m/>
    <m/>
    <n v="7"/>
    <m/>
    <m/>
    <m/>
    <m/>
    <m/>
  </r>
  <r>
    <x v="28"/>
    <x v="28"/>
    <n v="4"/>
    <m/>
    <n v="2"/>
    <n v="1"/>
    <m/>
    <n v="1"/>
    <m/>
    <m/>
    <m/>
    <m/>
  </r>
  <r>
    <x v="16"/>
    <x v="16"/>
    <n v="3"/>
    <m/>
    <m/>
    <m/>
    <m/>
    <n v="3"/>
    <m/>
    <m/>
    <m/>
    <m/>
  </r>
  <r>
    <x v="33"/>
    <x v="32"/>
    <n v="2"/>
    <m/>
    <m/>
    <m/>
    <m/>
    <n v="2"/>
    <m/>
    <m/>
    <m/>
    <m/>
  </r>
  <r>
    <x v="30"/>
    <x v="28"/>
    <n v="3"/>
    <m/>
    <m/>
    <n v="1"/>
    <m/>
    <n v="1"/>
    <n v="1"/>
    <m/>
    <m/>
    <m/>
  </r>
  <r>
    <x v="18"/>
    <x v="18"/>
    <n v="1"/>
    <m/>
    <m/>
    <m/>
    <m/>
    <m/>
    <n v="1"/>
    <m/>
    <m/>
    <m/>
  </r>
  <r>
    <x v="28"/>
    <x v="28"/>
    <n v="4"/>
    <m/>
    <m/>
    <n v="1"/>
    <n v="1"/>
    <n v="1"/>
    <n v="1"/>
    <m/>
    <m/>
    <m/>
  </r>
  <r>
    <x v="16"/>
    <x v="16"/>
    <n v="18"/>
    <m/>
    <m/>
    <n v="2"/>
    <n v="12"/>
    <n v="2"/>
    <m/>
    <n v="2"/>
    <m/>
    <m/>
  </r>
  <r>
    <x v="22"/>
    <x v="22"/>
    <n v="1"/>
    <m/>
    <m/>
    <m/>
    <m/>
    <m/>
    <m/>
    <n v="1"/>
    <m/>
    <m/>
  </r>
  <r>
    <x v="12"/>
    <x v="12"/>
    <n v="11"/>
    <m/>
    <m/>
    <n v="1"/>
    <n v="5"/>
    <n v="2"/>
    <n v="1"/>
    <n v="1"/>
    <m/>
    <n v="1"/>
  </r>
  <r>
    <x v="23"/>
    <x v="23"/>
    <n v="2"/>
    <m/>
    <n v="1"/>
    <m/>
    <m/>
    <n v="1"/>
    <m/>
    <m/>
    <m/>
    <m/>
  </r>
  <r>
    <x v="12"/>
    <x v="12"/>
    <n v="7"/>
    <m/>
    <m/>
    <m/>
    <n v="6"/>
    <n v="1"/>
    <m/>
    <m/>
    <m/>
    <m/>
  </r>
  <r>
    <x v="12"/>
    <x v="12"/>
    <n v="8"/>
    <m/>
    <m/>
    <m/>
    <n v="1"/>
    <n v="4"/>
    <n v="2"/>
    <n v="1"/>
    <m/>
    <m/>
  </r>
  <r>
    <x v="15"/>
    <x v="15"/>
    <n v="2"/>
    <m/>
    <m/>
    <m/>
    <n v="1"/>
    <n v="1"/>
    <m/>
    <m/>
    <m/>
    <m/>
  </r>
  <r>
    <x v="20"/>
    <x v="20"/>
    <n v="2"/>
    <m/>
    <m/>
    <m/>
    <m/>
    <m/>
    <n v="2"/>
    <m/>
    <m/>
    <m/>
  </r>
  <r>
    <x v="22"/>
    <x v="22"/>
    <n v="4"/>
    <m/>
    <m/>
    <m/>
    <m/>
    <n v="2"/>
    <n v="2"/>
    <m/>
    <m/>
    <m/>
  </r>
  <r>
    <x v="49"/>
    <x v="48"/>
    <n v="4"/>
    <m/>
    <m/>
    <m/>
    <m/>
    <n v="4"/>
    <m/>
    <m/>
    <m/>
    <m/>
  </r>
  <r>
    <x v="20"/>
    <x v="20"/>
    <n v="2"/>
    <m/>
    <n v="1"/>
    <n v="1"/>
    <m/>
    <m/>
    <m/>
    <m/>
    <m/>
    <m/>
  </r>
  <r>
    <x v="7"/>
    <x v="7"/>
    <n v="2"/>
    <m/>
    <n v="1"/>
    <m/>
    <m/>
    <m/>
    <n v="1"/>
    <m/>
    <m/>
    <m/>
  </r>
  <r>
    <x v="22"/>
    <x v="22"/>
    <n v="7"/>
    <m/>
    <n v="1"/>
    <m/>
    <n v="4"/>
    <n v="1"/>
    <m/>
    <n v="1"/>
    <m/>
    <m/>
  </r>
  <r>
    <x v="18"/>
    <x v="18"/>
    <n v="13"/>
    <m/>
    <n v="3"/>
    <n v="2"/>
    <m/>
    <n v="8"/>
    <m/>
    <m/>
    <m/>
    <m/>
  </r>
  <r>
    <x v="16"/>
    <x v="16"/>
    <n v="8"/>
    <m/>
    <m/>
    <m/>
    <n v="4"/>
    <n v="3"/>
    <n v="1"/>
    <m/>
    <m/>
    <m/>
  </r>
  <r>
    <x v="5"/>
    <x v="5"/>
    <n v="1"/>
    <m/>
    <n v="1"/>
    <m/>
    <m/>
    <m/>
    <m/>
    <m/>
    <m/>
    <m/>
  </r>
  <r>
    <x v="0"/>
    <x v="0"/>
    <n v="1"/>
    <m/>
    <n v="1"/>
    <m/>
    <m/>
    <m/>
    <m/>
    <m/>
    <m/>
    <m/>
  </r>
  <r>
    <x v="11"/>
    <x v="11"/>
    <n v="1"/>
    <m/>
    <n v="1"/>
    <m/>
    <m/>
    <m/>
    <m/>
    <m/>
    <m/>
    <m/>
  </r>
  <r>
    <x v="10"/>
    <x v="10"/>
    <n v="7"/>
    <m/>
    <n v="2"/>
    <m/>
    <n v="4"/>
    <m/>
    <m/>
    <n v="1"/>
    <m/>
    <m/>
  </r>
  <r>
    <x v="33"/>
    <x v="32"/>
    <n v="4"/>
    <m/>
    <n v="1"/>
    <m/>
    <m/>
    <n v="3"/>
    <m/>
    <m/>
    <m/>
    <m/>
  </r>
  <r>
    <x v="12"/>
    <x v="12"/>
    <n v="9"/>
    <m/>
    <m/>
    <n v="1"/>
    <n v="5"/>
    <n v="2"/>
    <n v="1"/>
    <m/>
    <m/>
    <m/>
  </r>
  <r>
    <x v="0"/>
    <x v="0"/>
    <n v="1"/>
    <m/>
    <n v="1"/>
    <m/>
    <m/>
    <m/>
    <m/>
    <m/>
    <m/>
    <m/>
  </r>
  <r>
    <x v="16"/>
    <x v="16"/>
    <n v="5"/>
    <m/>
    <n v="1"/>
    <m/>
    <m/>
    <n v="4"/>
    <m/>
    <m/>
    <m/>
    <m/>
  </r>
  <r>
    <x v="1"/>
    <x v="1"/>
    <n v="6"/>
    <m/>
    <n v="3"/>
    <n v="3"/>
    <m/>
    <m/>
    <m/>
    <m/>
    <m/>
    <m/>
  </r>
  <r>
    <x v="13"/>
    <x v="13"/>
    <n v="7"/>
    <m/>
    <n v="4"/>
    <m/>
    <m/>
    <n v="3"/>
    <m/>
    <m/>
    <m/>
    <m/>
  </r>
  <r>
    <x v="12"/>
    <x v="12"/>
    <n v="8"/>
    <m/>
    <n v="1"/>
    <n v="2"/>
    <m/>
    <m/>
    <n v="3"/>
    <n v="2"/>
    <m/>
    <m/>
  </r>
  <r>
    <x v="27"/>
    <x v="27"/>
    <n v="2"/>
    <m/>
    <m/>
    <m/>
    <m/>
    <n v="1"/>
    <n v="1"/>
    <m/>
    <m/>
    <m/>
  </r>
  <r>
    <x v="13"/>
    <x v="13"/>
    <n v="9"/>
    <m/>
    <n v="3"/>
    <m/>
    <m/>
    <n v="5"/>
    <n v="1"/>
    <m/>
    <m/>
    <m/>
  </r>
  <r>
    <x v="7"/>
    <x v="7"/>
    <n v="2"/>
    <m/>
    <m/>
    <m/>
    <n v="1"/>
    <n v="1"/>
    <m/>
    <m/>
    <m/>
    <m/>
  </r>
  <r>
    <x v="14"/>
    <x v="14"/>
    <n v="1"/>
    <m/>
    <m/>
    <n v="1"/>
    <m/>
    <m/>
    <m/>
    <m/>
    <m/>
    <m/>
  </r>
  <r>
    <x v="20"/>
    <x v="20"/>
    <n v="3"/>
    <m/>
    <m/>
    <n v="1"/>
    <m/>
    <n v="1"/>
    <n v="1"/>
    <m/>
    <m/>
    <m/>
  </r>
  <r>
    <x v="7"/>
    <x v="7"/>
    <n v="2"/>
    <m/>
    <m/>
    <m/>
    <m/>
    <n v="1"/>
    <n v="1"/>
    <m/>
    <m/>
    <m/>
  </r>
  <r>
    <x v="5"/>
    <x v="5"/>
    <n v="25"/>
    <m/>
    <m/>
    <n v="2"/>
    <n v="8"/>
    <n v="13"/>
    <m/>
    <n v="2"/>
    <m/>
    <m/>
  </r>
  <r>
    <x v="7"/>
    <x v="7"/>
    <n v="3"/>
    <m/>
    <m/>
    <m/>
    <m/>
    <n v="2"/>
    <n v="1"/>
    <m/>
    <m/>
    <m/>
  </r>
  <r>
    <x v="23"/>
    <x v="23"/>
    <n v="3"/>
    <m/>
    <n v="1"/>
    <m/>
    <m/>
    <n v="1"/>
    <m/>
    <n v="1"/>
    <m/>
    <m/>
  </r>
  <r>
    <x v="7"/>
    <x v="7"/>
    <n v="6"/>
    <n v="1"/>
    <m/>
    <n v="1"/>
    <n v="1"/>
    <n v="1"/>
    <n v="1"/>
    <n v="1"/>
    <m/>
    <m/>
  </r>
  <r>
    <x v="7"/>
    <x v="7"/>
    <n v="3"/>
    <m/>
    <m/>
    <m/>
    <n v="1"/>
    <n v="1"/>
    <m/>
    <n v="1"/>
    <m/>
    <m/>
  </r>
  <r>
    <x v="16"/>
    <x v="16"/>
    <n v="10"/>
    <m/>
    <n v="2"/>
    <n v="3"/>
    <m/>
    <n v="5"/>
    <m/>
    <m/>
    <m/>
    <m/>
  </r>
  <r>
    <x v="23"/>
    <x v="23"/>
    <n v="1"/>
    <m/>
    <n v="1"/>
    <m/>
    <m/>
    <m/>
    <m/>
    <m/>
    <m/>
    <m/>
  </r>
  <r>
    <x v="38"/>
    <x v="37"/>
    <n v="6"/>
    <m/>
    <n v="1"/>
    <n v="2"/>
    <m/>
    <n v="3"/>
    <m/>
    <m/>
    <m/>
    <m/>
  </r>
  <r>
    <x v="3"/>
    <x v="3"/>
    <n v="7"/>
    <n v="1"/>
    <n v="1"/>
    <m/>
    <n v="1"/>
    <n v="4"/>
    <m/>
    <m/>
    <m/>
    <m/>
  </r>
  <r>
    <x v="22"/>
    <x v="22"/>
    <n v="7"/>
    <m/>
    <m/>
    <m/>
    <m/>
    <n v="6"/>
    <m/>
    <n v="1"/>
    <m/>
    <m/>
  </r>
  <r>
    <x v="3"/>
    <x v="3"/>
    <n v="3"/>
    <m/>
    <m/>
    <n v="1"/>
    <m/>
    <n v="2"/>
    <m/>
    <m/>
    <m/>
    <m/>
  </r>
  <r>
    <x v="23"/>
    <x v="23"/>
    <n v="3"/>
    <m/>
    <m/>
    <m/>
    <m/>
    <n v="2"/>
    <n v="1"/>
    <m/>
    <m/>
    <m/>
  </r>
  <r>
    <x v="10"/>
    <x v="10"/>
    <n v="8"/>
    <m/>
    <n v="1"/>
    <m/>
    <n v="1"/>
    <n v="3"/>
    <m/>
    <n v="3"/>
    <m/>
    <m/>
  </r>
  <r>
    <x v="16"/>
    <x v="16"/>
    <n v="2"/>
    <m/>
    <n v="1"/>
    <m/>
    <m/>
    <m/>
    <m/>
    <n v="1"/>
    <m/>
    <m/>
  </r>
  <r>
    <x v="36"/>
    <x v="35"/>
    <n v="2"/>
    <m/>
    <n v="1"/>
    <m/>
    <m/>
    <m/>
    <m/>
    <n v="1"/>
    <m/>
    <m/>
  </r>
  <r>
    <x v="50"/>
    <x v="49"/>
    <n v="2"/>
    <m/>
    <m/>
    <m/>
    <m/>
    <n v="1"/>
    <m/>
    <m/>
    <m/>
    <n v="1"/>
  </r>
  <r>
    <x v="9"/>
    <x v="9"/>
    <n v="12"/>
    <n v="1"/>
    <m/>
    <m/>
    <n v="6"/>
    <n v="3"/>
    <n v="2"/>
    <m/>
    <m/>
    <m/>
  </r>
  <r>
    <x v="13"/>
    <x v="13"/>
    <n v="1"/>
    <m/>
    <m/>
    <m/>
    <m/>
    <n v="1"/>
    <m/>
    <m/>
    <m/>
    <m/>
  </r>
  <r>
    <x v="23"/>
    <x v="23"/>
    <n v="1"/>
    <m/>
    <m/>
    <m/>
    <m/>
    <n v="1"/>
    <m/>
    <m/>
    <m/>
    <m/>
  </r>
  <r>
    <x v="22"/>
    <x v="22"/>
    <n v="3"/>
    <m/>
    <m/>
    <m/>
    <n v="2"/>
    <n v="1"/>
    <m/>
    <m/>
    <m/>
    <m/>
  </r>
  <r>
    <x v="5"/>
    <x v="5"/>
    <n v="1"/>
    <m/>
    <n v="1"/>
    <m/>
    <m/>
    <m/>
    <m/>
    <m/>
    <m/>
    <m/>
  </r>
  <r>
    <x v="0"/>
    <x v="0"/>
    <n v="1"/>
    <m/>
    <n v="1"/>
    <m/>
    <m/>
    <m/>
    <m/>
    <m/>
    <m/>
    <m/>
  </r>
  <r>
    <x v="16"/>
    <x v="16"/>
    <n v="6"/>
    <m/>
    <n v="1"/>
    <m/>
    <m/>
    <n v="5"/>
    <m/>
    <m/>
    <m/>
    <m/>
  </r>
  <r>
    <x v="10"/>
    <x v="10"/>
    <n v="8"/>
    <m/>
    <n v="3"/>
    <n v="1"/>
    <m/>
    <n v="1"/>
    <n v="2"/>
    <n v="1"/>
    <m/>
    <m/>
  </r>
  <r>
    <x v="10"/>
    <x v="10"/>
    <n v="10"/>
    <m/>
    <n v="1"/>
    <n v="1"/>
    <m/>
    <n v="6"/>
    <n v="1"/>
    <m/>
    <n v="1"/>
    <m/>
  </r>
  <r>
    <x v="7"/>
    <x v="7"/>
    <n v="4"/>
    <m/>
    <m/>
    <n v="1"/>
    <m/>
    <n v="3"/>
    <m/>
    <m/>
    <m/>
    <m/>
  </r>
  <r>
    <x v="16"/>
    <x v="16"/>
    <n v="6"/>
    <m/>
    <n v="2"/>
    <m/>
    <m/>
    <n v="4"/>
    <m/>
    <m/>
    <m/>
    <m/>
  </r>
  <r>
    <x v="10"/>
    <x v="10"/>
    <n v="13"/>
    <n v="1"/>
    <n v="2"/>
    <n v="2"/>
    <m/>
    <n v="6"/>
    <n v="2"/>
    <m/>
    <m/>
    <m/>
  </r>
  <r>
    <x v="5"/>
    <x v="5"/>
    <n v="4"/>
    <m/>
    <m/>
    <n v="1"/>
    <m/>
    <n v="3"/>
    <m/>
    <m/>
    <m/>
    <m/>
  </r>
  <r>
    <x v="0"/>
    <x v="0"/>
    <n v="6"/>
    <m/>
    <n v="1"/>
    <n v="1"/>
    <m/>
    <n v="4"/>
    <m/>
    <m/>
    <m/>
    <m/>
  </r>
  <r>
    <x v="16"/>
    <x v="16"/>
    <n v="5"/>
    <m/>
    <n v="1"/>
    <n v="3"/>
    <m/>
    <n v="1"/>
    <m/>
    <m/>
    <m/>
    <m/>
  </r>
  <r>
    <x v="16"/>
    <x v="16"/>
    <n v="7"/>
    <m/>
    <n v="1"/>
    <n v="1"/>
    <m/>
    <n v="4"/>
    <n v="1"/>
    <m/>
    <m/>
    <m/>
  </r>
  <r>
    <x v="50"/>
    <x v="49"/>
    <n v="1"/>
    <m/>
    <n v="1"/>
    <m/>
    <m/>
    <m/>
    <m/>
    <m/>
    <m/>
    <m/>
  </r>
  <r>
    <x v="16"/>
    <x v="16"/>
    <n v="3"/>
    <m/>
    <m/>
    <n v="1"/>
    <m/>
    <n v="2"/>
    <m/>
    <m/>
    <m/>
    <m/>
  </r>
  <r>
    <x v="20"/>
    <x v="20"/>
    <n v="2"/>
    <m/>
    <m/>
    <m/>
    <m/>
    <n v="2"/>
    <m/>
    <m/>
    <m/>
    <m/>
  </r>
  <r>
    <x v="18"/>
    <x v="18"/>
    <n v="6"/>
    <m/>
    <m/>
    <m/>
    <m/>
    <n v="6"/>
    <m/>
    <m/>
    <m/>
    <m/>
  </r>
  <r>
    <x v="12"/>
    <x v="12"/>
    <n v="10"/>
    <m/>
    <n v="1"/>
    <m/>
    <m/>
    <n v="6"/>
    <n v="3"/>
    <m/>
    <m/>
    <m/>
  </r>
  <r>
    <x v="27"/>
    <x v="27"/>
    <n v="3"/>
    <m/>
    <m/>
    <m/>
    <m/>
    <n v="2"/>
    <n v="1"/>
    <m/>
    <m/>
    <m/>
  </r>
  <r>
    <x v="7"/>
    <x v="7"/>
    <n v="1"/>
    <m/>
    <m/>
    <n v="1"/>
    <m/>
    <m/>
    <m/>
    <m/>
    <m/>
    <m/>
  </r>
  <r>
    <x v="12"/>
    <x v="12"/>
    <n v="7"/>
    <m/>
    <m/>
    <n v="1"/>
    <n v="4"/>
    <n v="2"/>
    <m/>
    <m/>
    <m/>
    <m/>
  </r>
  <r>
    <x v="27"/>
    <x v="27"/>
    <n v="3"/>
    <m/>
    <m/>
    <n v="1"/>
    <m/>
    <n v="1"/>
    <n v="1"/>
    <m/>
    <m/>
    <m/>
  </r>
  <r>
    <x v="22"/>
    <x v="22"/>
    <n v="1"/>
    <m/>
    <m/>
    <m/>
    <m/>
    <n v="1"/>
    <m/>
    <m/>
    <m/>
    <m/>
  </r>
  <r>
    <x v="50"/>
    <x v="49"/>
    <n v="1"/>
    <m/>
    <n v="1"/>
    <m/>
    <m/>
    <m/>
    <m/>
    <m/>
    <m/>
    <m/>
  </r>
  <r>
    <x v="23"/>
    <x v="23"/>
    <n v="1"/>
    <m/>
    <m/>
    <m/>
    <m/>
    <n v="1"/>
    <m/>
    <m/>
    <m/>
    <m/>
  </r>
  <r>
    <x v="16"/>
    <x v="16"/>
    <n v="4"/>
    <m/>
    <m/>
    <n v="1"/>
    <m/>
    <n v="3"/>
    <m/>
    <m/>
    <m/>
    <m/>
  </r>
  <r>
    <x v="12"/>
    <x v="12"/>
    <n v="7"/>
    <m/>
    <n v="1"/>
    <m/>
    <n v="2"/>
    <n v="3"/>
    <n v="1"/>
    <m/>
    <m/>
    <m/>
  </r>
  <r>
    <x v="33"/>
    <x v="32"/>
    <n v="6"/>
    <m/>
    <m/>
    <m/>
    <m/>
    <n v="6"/>
    <m/>
    <m/>
    <m/>
    <m/>
  </r>
  <r>
    <x v="5"/>
    <x v="5"/>
    <n v="1"/>
    <m/>
    <m/>
    <m/>
    <m/>
    <n v="1"/>
    <m/>
    <m/>
    <m/>
    <m/>
  </r>
  <r>
    <x v="1"/>
    <x v="1"/>
    <n v="1"/>
    <m/>
    <m/>
    <m/>
    <m/>
    <n v="1"/>
    <m/>
    <m/>
    <m/>
    <m/>
  </r>
  <r>
    <x v="20"/>
    <x v="20"/>
    <n v="2"/>
    <m/>
    <m/>
    <m/>
    <m/>
    <m/>
    <n v="2"/>
    <m/>
    <m/>
    <m/>
  </r>
  <r>
    <x v="25"/>
    <x v="25"/>
    <n v="2"/>
    <m/>
    <m/>
    <m/>
    <m/>
    <n v="2"/>
    <m/>
    <m/>
    <m/>
    <m/>
  </r>
  <r>
    <x v="32"/>
    <x v="31"/>
    <n v="2"/>
    <m/>
    <m/>
    <m/>
    <m/>
    <n v="2"/>
    <m/>
    <m/>
    <m/>
    <m/>
  </r>
  <r>
    <x v="5"/>
    <x v="5"/>
    <n v="2"/>
    <m/>
    <m/>
    <m/>
    <m/>
    <n v="1"/>
    <n v="1"/>
    <m/>
    <m/>
    <m/>
  </r>
  <r>
    <x v="27"/>
    <x v="27"/>
    <n v="4"/>
    <m/>
    <m/>
    <m/>
    <m/>
    <n v="3"/>
    <n v="1"/>
    <m/>
    <m/>
    <m/>
  </r>
  <r>
    <x v="16"/>
    <x v="16"/>
    <n v="3"/>
    <m/>
    <n v="2"/>
    <n v="1"/>
    <m/>
    <m/>
    <m/>
    <m/>
    <m/>
    <m/>
  </r>
  <r>
    <x v="22"/>
    <x v="22"/>
    <n v="4"/>
    <m/>
    <n v="2"/>
    <n v="1"/>
    <m/>
    <m/>
    <n v="1"/>
    <m/>
    <m/>
    <m/>
  </r>
  <r>
    <x v="20"/>
    <x v="20"/>
    <n v="1"/>
    <m/>
    <m/>
    <m/>
    <m/>
    <m/>
    <n v="1"/>
    <m/>
    <m/>
    <m/>
  </r>
  <r>
    <x v="10"/>
    <x v="10"/>
    <n v="9"/>
    <m/>
    <m/>
    <m/>
    <m/>
    <n v="2"/>
    <n v="6"/>
    <n v="1"/>
    <m/>
    <m/>
  </r>
  <r>
    <x v="12"/>
    <x v="12"/>
    <n v="7"/>
    <m/>
    <m/>
    <n v="4"/>
    <m/>
    <m/>
    <n v="1"/>
    <n v="2"/>
    <m/>
    <m/>
  </r>
  <r>
    <x v="5"/>
    <x v="5"/>
    <n v="6"/>
    <m/>
    <n v="1"/>
    <m/>
    <m/>
    <n v="4"/>
    <n v="1"/>
    <m/>
    <m/>
    <m/>
  </r>
  <r>
    <x v="49"/>
    <x v="48"/>
    <n v="12"/>
    <m/>
    <n v="1"/>
    <n v="3"/>
    <n v="2"/>
    <n v="5"/>
    <n v="1"/>
    <m/>
    <m/>
    <m/>
  </r>
  <r>
    <x v="33"/>
    <x v="32"/>
    <n v="4"/>
    <m/>
    <m/>
    <m/>
    <m/>
    <n v="4"/>
    <m/>
    <m/>
    <m/>
    <m/>
  </r>
  <r>
    <x v="5"/>
    <x v="5"/>
    <n v="10"/>
    <n v="1"/>
    <m/>
    <n v="2"/>
    <n v="4"/>
    <n v="2"/>
    <n v="1"/>
    <m/>
    <m/>
    <m/>
  </r>
  <r>
    <x v="1"/>
    <x v="1"/>
    <n v="13"/>
    <m/>
    <m/>
    <n v="1"/>
    <m/>
    <n v="3"/>
    <n v="8"/>
    <n v="1"/>
    <m/>
    <m/>
  </r>
  <r>
    <x v="5"/>
    <x v="5"/>
    <n v="11"/>
    <m/>
    <m/>
    <m/>
    <n v="7"/>
    <n v="1"/>
    <m/>
    <n v="3"/>
    <m/>
    <m/>
  </r>
  <r>
    <x v="5"/>
    <x v="5"/>
    <n v="2"/>
    <m/>
    <m/>
    <m/>
    <m/>
    <n v="1"/>
    <m/>
    <n v="1"/>
    <m/>
    <m/>
  </r>
  <r>
    <x v="49"/>
    <x v="48"/>
    <n v="3"/>
    <m/>
    <n v="1"/>
    <m/>
    <m/>
    <n v="1"/>
    <n v="1"/>
    <m/>
    <m/>
    <m/>
  </r>
  <r>
    <x v="33"/>
    <x v="32"/>
    <n v="6"/>
    <m/>
    <n v="1"/>
    <m/>
    <m/>
    <n v="5"/>
    <m/>
    <m/>
    <m/>
    <m/>
  </r>
  <r>
    <x v="3"/>
    <x v="3"/>
    <n v="1"/>
    <m/>
    <m/>
    <m/>
    <m/>
    <n v="1"/>
    <m/>
    <m/>
    <m/>
    <m/>
  </r>
  <r>
    <x v="5"/>
    <x v="5"/>
    <n v="8"/>
    <m/>
    <n v="1"/>
    <m/>
    <n v="5"/>
    <n v="1"/>
    <m/>
    <n v="1"/>
    <m/>
    <m/>
  </r>
  <r>
    <x v="13"/>
    <x v="13"/>
    <n v="11"/>
    <n v="1"/>
    <m/>
    <m/>
    <n v="8"/>
    <n v="1"/>
    <m/>
    <n v="1"/>
    <m/>
    <m/>
  </r>
  <r>
    <x v="40"/>
    <x v="39"/>
    <n v="1"/>
    <m/>
    <m/>
    <m/>
    <m/>
    <n v="1"/>
    <m/>
    <m/>
    <m/>
    <m/>
  </r>
  <r>
    <x v="5"/>
    <x v="5"/>
    <n v="10"/>
    <m/>
    <m/>
    <n v="1"/>
    <n v="4"/>
    <n v="2"/>
    <n v="1"/>
    <n v="2"/>
    <m/>
    <m/>
  </r>
  <r>
    <x v="12"/>
    <x v="12"/>
    <n v="20"/>
    <m/>
    <n v="3"/>
    <m/>
    <n v="9"/>
    <n v="3"/>
    <n v="3"/>
    <n v="2"/>
    <m/>
    <m/>
  </r>
  <r>
    <x v="10"/>
    <x v="10"/>
    <n v="2"/>
    <m/>
    <n v="1"/>
    <m/>
    <m/>
    <m/>
    <m/>
    <n v="1"/>
    <m/>
    <m/>
  </r>
  <r>
    <x v="23"/>
    <x v="23"/>
    <n v="3"/>
    <m/>
    <n v="1"/>
    <m/>
    <m/>
    <n v="2"/>
    <m/>
    <m/>
    <m/>
    <m/>
  </r>
  <r>
    <x v="20"/>
    <x v="20"/>
    <n v="1"/>
    <m/>
    <m/>
    <m/>
    <m/>
    <n v="1"/>
    <m/>
    <m/>
    <m/>
    <m/>
  </r>
  <r>
    <x v="5"/>
    <x v="5"/>
    <n v="6"/>
    <m/>
    <m/>
    <m/>
    <n v="2"/>
    <n v="4"/>
    <m/>
    <m/>
    <m/>
    <m/>
  </r>
  <r>
    <x v="10"/>
    <x v="10"/>
    <n v="10"/>
    <m/>
    <m/>
    <m/>
    <n v="8"/>
    <n v="1"/>
    <m/>
    <n v="1"/>
    <m/>
    <m/>
  </r>
  <r>
    <x v="20"/>
    <x v="20"/>
    <n v="3"/>
    <m/>
    <m/>
    <n v="2"/>
    <m/>
    <m/>
    <n v="1"/>
    <m/>
    <m/>
    <m/>
  </r>
  <r>
    <x v="16"/>
    <x v="16"/>
    <n v="1"/>
    <m/>
    <m/>
    <m/>
    <m/>
    <n v="1"/>
    <m/>
    <m/>
    <m/>
    <m/>
  </r>
  <r>
    <x v="0"/>
    <x v="0"/>
    <n v="2"/>
    <m/>
    <m/>
    <m/>
    <m/>
    <n v="2"/>
    <m/>
    <m/>
    <m/>
    <m/>
  </r>
  <r>
    <x v="11"/>
    <x v="11"/>
    <n v="10"/>
    <m/>
    <n v="1"/>
    <n v="2"/>
    <n v="2"/>
    <n v="5"/>
    <m/>
    <m/>
    <m/>
    <m/>
  </r>
  <r>
    <x v="13"/>
    <x v="13"/>
    <n v="11"/>
    <m/>
    <m/>
    <n v="1"/>
    <n v="6"/>
    <n v="2"/>
    <n v="2"/>
    <m/>
    <m/>
    <m/>
  </r>
  <r>
    <x v="20"/>
    <x v="20"/>
    <n v="3"/>
    <m/>
    <m/>
    <n v="1"/>
    <m/>
    <n v="2"/>
    <m/>
    <m/>
    <m/>
    <m/>
  </r>
  <r>
    <x v="40"/>
    <x v="39"/>
    <n v="2"/>
    <m/>
    <m/>
    <m/>
    <m/>
    <n v="2"/>
    <m/>
    <m/>
    <m/>
    <m/>
  </r>
  <r>
    <x v="5"/>
    <x v="5"/>
    <n v="1"/>
    <m/>
    <m/>
    <m/>
    <m/>
    <n v="1"/>
    <m/>
    <m/>
    <m/>
    <m/>
  </r>
  <r>
    <x v="11"/>
    <x v="11"/>
    <n v="1"/>
    <m/>
    <m/>
    <m/>
    <m/>
    <n v="1"/>
    <m/>
    <m/>
    <m/>
    <m/>
  </r>
  <r>
    <x v="27"/>
    <x v="27"/>
    <n v="2"/>
    <m/>
    <m/>
    <m/>
    <m/>
    <m/>
    <n v="1"/>
    <n v="1"/>
    <m/>
    <m/>
  </r>
  <r>
    <x v="20"/>
    <x v="20"/>
    <n v="2"/>
    <m/>
    <m/>
    <n v="1"/>
    <m/>
    <m/>
    <n v="1"/>
    <m/>
    <m/>
    <m/>
  </r>
  <r>
    <x v="16"/>
    <x v="16"/>
    <n v="3"/>
    <m/>
    <m/>
    <m/>
    <m/>
    <n v="1"/>
    <n v="2"/>
    <m/>
    <m/>
    <m/>
  </r>
  <r>
    <x v="12"/>
    <x v="12"/>
    <n v="12"/>
    <m/>
    <m/>
    <m/>
    <n v="6"/>
    <n v="3"/>
    <n v="2"/>
    <n v="1"/>
    <m/>
    <m/>
  </r>
  <r>
    <x v="23"/>
    <x v="23"/>
    <n v="2"/>
    <m/>
    <m/>
    <m/>
    <m/>
    <n v="2"/>
    <m/>
    <m/>
    <m/>
    <m/>
  </r>
  <r>
    <x v="16"/>
    <x v="16"/>
    <n v="3"/>
    <m/>
    <m/>
    <n v="2"/>
    <m/>
    <m/>
    <n v="1"/>
    <m/>
    <m/>
    <m/>
  </r>
  <r>
    <x v="40"/>
    <x v="39"/>
    <n v="1"/>
    <m/>
    <m/>
    <n v="1"/>
    <m/>
    <m/>
    <m/>
    <m/>
    <m/>
    <m/>
  </r>
  <r>
    <x v="1"/>
    <x v="1"/>
    <n v="6"/>
    <m/>
    <m/>
    <m/>
    <m/>
    <n v="6"/>
    <m/>
    <m/>
    <m/>
    <m/>
  </r>
  <r>
    <x v="10"/>
    <x v="10"/>
    <n v="9"/>
    <m/>
    <m/>
    <m/>
    <n v="9"/>
    <m/>
    <m/>
    <m/>
    <m/>
    <m/>
  </r>
  <r>
    <x v="9"/>
    <x v="9"/>
    <n v="15"/>
    <m/>
    <n v="4"/>
    <m/>
    <n v="2"/>
    <n v="7"/>
    <n v="2"/>
    <m/>
    <m/>
    <m/>
  </r>
  <r>
    <x v="19"/>
    <x v="19"/>
    <n v="1"/>
    <m/>
    <m/>
    <m/>
    <m/>
    <n v="1"/>
    <m/>
    <m/>
    <m/>
    <m/>
  </r>
  <r>
    <x v="1"/>
    <x v="1"/>
    <n v="10"/>
    <m/>
    <n v="1"/>
    <n v="2"/>
    <m/>
    <n v="7"/>
    <m/>
    <m/>
    <m/>
    <m/>
  </r>
  <r>
    <x v="33"/>
    <x v="32"/>
    <n v="4"/>
    <m/>
    <m/>
    <n v="2"/>
    <m/>
    <m/>
    <n v="2"/>
    <m/>
    <m/>
    <m/>
  </r>
  <r>
    <x v="30"/>
    <x v="28"/>
    <n v="1"/>
    <m/>
    <m/>
    <m/>
    <m/>
    <n v="1"/>
    <m/>
    <m/>
    <m/>
    <m/>
  </r>
  <r>
    <x v="22"/>
    <x v="22"/>
    <n v="11"/>
    <m/>
    <n v="7"/>
    <m/>
    <m/>
    <n v="3"/>
    <n v="1"/>
    <m/>
    <m/>
    <m/>
  </r>
  <r>
    <x v="20"/>
    <x v="20"/>
    <n v="4"/>
    <m/>
    <n v="1"/>
    <m/>
    <m/>
    <n v="2"/>
    <n v="1"/>
    <m/>
    <m/>
    <m/>
  </r>
  <r>
    <x v="50"/>
    <x v="49"/>
    <n v="3"/>
    <m/>
    <m/>
    <m/>
    <m/>
    <n v="2"/>
    <m/>
    <n v="1"/>
    <m/>
    <m/>
  </r>
  <r>
    <x v="16"/>
    <x v="16"/>
    <n v="2"/>
    <m/>
    <m/>
    <m/>
    <m/>
    <n v="1"/>
    <n v="1"/>
    <m/>
    <m/>
    <m/>
  </r>
  <r>
    <x v="10"/>
    <x v="10"/>
    <n v="15"/>
    <m/>
    <n v="1"/>
    <n v="1"/>
    <m/>
    <n v="8"/>
    <n v="4"/>
    <n v="1"/>
    <m/>
    <m/>
  </r>
  <r>
    <x v="22"/>
    <x v="22"/>
    <n v="2"/>
    <m/>
    <n v="1"/>
    <m/>
    <m/>
    <n v="1"/>
    <m/>
    <m/>
    <m/>
    <m/>
  </r>
  <r>
    <x v="12"/>
    <x v="12"/>
    <n v="14"/>
    <m/>
    <m/>
    <m/>
    <n v="10"/>
    <n v="2"/>
    <n v="1"/>
    <n v="1"/>
    <m/>
    <m/>
  </r>
  <r>
    <x v="13"/>
    <x v="13"/>
    <n v="1"/>
    <m/>
    <m/>
    <m/>
    <m/>
    <m/>
    <n v="1"/>
    <m/>
    <m/>
    <m/>
  </r>
  <r>
    <x v="5"/>
    <x v="5"/>
    <n v="12"/>
    <m/>
    <m/>
    <n v="4"/>
    <m/>
    <n v="5"/>
    <m/>
    <n v="3"/>
    <m/>
    <m/>
  </r>
  <r>
    <x v="16"/>
    <x v="16"/>
    <n v="11"/>
    <m/>
    <n v="2"/>
    <m/>
    <m/>
    <n v="7"/>
    <n v="1"/>
    <m/>
    <n v="1"/>
    <m/>
  </r>
  <r>
    <x v="23"/>
    <x v="23"/>
    <n v="1"/>
    <m/>
    <m/>
    <n v="1"/>
    <m/>
    <m/>
    <m/>
    <m/>
    <m/>
    <m/>
  </r>
  <r>
    <x v="20"/>
    <x v="20"/>
    <n v="1"/>
    <m/>
    <m/>
    <m/>
    <m/>
    <m/>
    <n v="1"/>
    <m/>
    <m/>
    <m/>
  </r>
  <r>
    <x v="10"/>
    <x v="10"/>
    <n v="10"/>
    <m/>
    <n v="7"/>
    <m/>
    <m/>
    <n v="1"/>
    <n v="2"/>
    <m/>
    <m/>
    <m/>
  </r>
  <r>
    <x v="16"/>
    <x v="16"/>
    <n v="2"/>
    <m/>
    <n v="1"/>
    <m/>
    <m/>
    <n v="1"/>
    <m/>
    <m/>
    <m/>
    <m/>
  </r>
  <r>
    <x v="5"/>
    <x v="5"/>
    <n v="9"/>
    <m/>
    <n v="4"/>
    <n v="2"/>
    <m/>
    <n v="3"/>
    <m/>
    <m/>
    <m/>
    <m/>
  </r>
  <r>
    <x v="10"/>
    <x v="10"/>
    <n v="6"/>
    <m/>
    <n v="1"/>
    <m/>
    <m/>
    <n v="2"/>
    <n v="3"/>
    <m/>
    <m/>
    <m/>
  </r>
  <r>
    <x v="30"/>
    <x v="28"/>
    <n v="2"/>
    <m/>
    <n v="1"/>
    <n v="1"/>
    <m/>
    <m/>
    <m/>
    <m/>
    <m/>
    <m/>
  </r>
  <r>
    <x v="11"/>
    <x v="11"/>
    <n v="5"/>
    <m/>
    <m/>
    <m/>
    <m/>
    <n v="5"/>
    <m/>
    <m/>
    <m/>
    <m/>
  </r>
  <r>
    <x v="0"/>
    <x v="0"/>
    <n v="5"/>
    <m/>
    <m/>
    <m/>
    <m/>
    <n v="5"/>
    <m/>
    <m/>
    <m/>
    <m/>
  </r>
  <r>
    <x v="10"/>
    <x v="10"/>
    <n v="12"/>
    <m/>
    <n v="1"/>
    <n v="1"/>
    <n v="1"/>
    <n v="6"/>
    <n v="2"/>
    <n v="1"/>
    <m/>
    <m/>
  </r>
  <r>
    <x v="5"/>
    <x v="5"/>
    <n v="1"/>
    <m/>
    <m/>
    <m/>
    <m/>
    <n v="1"/>
    <m/>
    <m/>
    <m/>
    <m/>
  </r>
  <r>
    <x v="11"/>
    <x v="11"/>
    <n v="1"/>
    <m/>
    <m/>
    <m/>
    <m/>
    <n v="1"/>
    <m/>
    <m/>
    <m/>
    <m/>
  </r>
  <r>
    <x v="12"/>
    <x v="12"/>
    <n v="16"/>
    <m/>
    <m/>
    <n v="2"/>
    <n v="11"/>
    <n v="2"/>
    <m/>
    <n v="1"/>
    <m/>
    <m/>
  </r>
  <r>
    <x v="25"/>
    <x v="25"/>
    <n v="2"/>
    <m/>
    <m/>
    <m/>
    <m/>
    <n v="2"/>
    <m/>
    <m/>
    <m/>
    <m/>
  </r>
  <r>
    <x v="10"/>
    <x v="10"/>
    <n v="11"/>
    <m/>
    <n v="4"/>
    <n v="1"/>
    <m/>
    <n v="6"/>
    <m/>
    <m/>
    <m/>
    <m/>
  </r>
  <r>
    <x v="23"/>
    <x v="23"/>
    <n v="1"/>
    <m/>
    <m/>
    <m/>
    <m/>
    <m/>
    <m/>
    <n v="1"/>
    <m/>
    <m/>
  </r>
  <r>
    <x v="20"/>
    <x v="20"/>
    <n v="3"/>
    <m/>
    <n v="2"/>
    <n v="1"/>
    <m/>
    <m/>
    <m/>
    <m/>
    <m/>
    <m/>
  </r>
  <r>
    <x v="5"/>
    <x v="5"/>
    <n v="2"/>
    <m/>
    <m/>
    <n v="1"/>
    <n v="1"/>
    <m/>
    <m/>
    <m/>
    <m/>
    <m/>
  </r>
  <r>
    <x v="16"/>
    <x v="16"/>
    <n v="2"/>
    <m/>
    <n v="1"/>
    <m/>
    <m/>
    <n v="1"/>
    <m/>
    <m/>
    <m/>
    <m/>
  </r>
  <r>
    <x v="7"/>
    <x v="7"/>
    <n v="4"/>
    <m/>
    <m/>
    <n v="1"/>
    <m/>
    <m/>
    <n v="1"/>
    <n v="2"/>
    <m/>
    <m/>
  </r>
  <r>
    <x v="18"/>
    <x v="18"/>
    <n v="4"/>
    <m/>
    <n v="1"/>
    <m/>
    <m/>
    <n v="3"/>
    <m/>
    <m/>
    <m/>
    <m/>
  </r>
  <r>
    <x v="7"/>
    <x v="7"/>
    <n v="5"/>
    <m/>
    <m/>
    <m/>
    <n v="4"/>
    <n v="1"/>
    <m/>
    <m/>
    <m/>
    <m/>
  </r>
  <r>
    <x v="13"/>
    <x v="13"/>
    <n v="12"/>
    <m/>
    <m/>
    <n v="2"/>
    <n v="3"/>
    <n v="6"/>
    <n v="1"/>
    <m/>
    <m/>
    <m/>
  </r>
  <r>
    <x v="10"/>
    <x v="10"/>
    <n v="9"/>
    <m/>
    <m/>
    <m/>
    <m/>
    <n v="5"/>
    <n v="3"/>
    <n v="1"/>
    <m/>
    <m/>
  </r>
  <r>
    <x v="33"/>
    <x v="32"/>
    <n v="2"/>
    <m/>
    <m/>
    <m/>
    <m/>
    <n v="2"/>
    <m/>
    <m/>
    <m/>
    <m/>
  </r>
  <r>
    <x v="11"/>
    <x v="11"/>
    <n v="2"/>
    <m/>
    <m/>
    <n v="1"/>
    <m/>
    <n v="1"/>
    <m/>
    <m/>
    <m/>
    <m/>
  </r>
  <r>
    <x v="0"/>
    <x v="0"/>
    <n v="2"/>
    <m/>
    <m/>
    <n v="1"/>
    <m/>
    <n v="1"/>
    <m/>
    <m/>
    <m/>
    <m/>
  </r>
  <r>
    <x v="5"/>
    <x v="5"/>
    <n v="2"/>
    <m/>
    <m/>
    <n v="1"/>
    <m/>
    <n v="1"/>
    <m/>
    <m/>
    <m/>
    <m/>
  </r>
  <r>
    <x v="38"/>
    <x v="37"/>
    <n v="13"/>
    <n v="1"/>
    <n v="2"/>
    <n v="1"/>
    <n v="3"/>
    <n v="2"/>
    <n v="2"/>
    <n v="2"/>
    <m/>
    <m/>
  </r>
  <r>
    <x v="1"/>
    <x v="1"/>
    <n v="5"/>
    <m/>
    <m/>
    <n v="1"/>
    <m/>
    <n v="4"/>
    <m/>
    <m/>
    <m/>
    <m/>
  </r>
  <r>
    <x v="16"/>
    <x v="16"/>
    <n v="5"/>
    <m/>
    <m/>
    <n v="1"/>
    <n v="2"/>
    <n v="2"/>
    <m/>
    <m/>
    <m/>
    <m/>
  </r>
  <r>
    <x v="10"/>
    <x v="10"/>
    <n v="11"/>
    <m/>
    <m/>
    <n v="2"/>
    <m/>
    <n v="6"/>
    <m/>
    <n v="3"/>
    <m/>
    <m/>
  </r>
  <r>
    <x v="12"/>
    <x v="12"/>
    <n v="5"/>
    <m/>
    <n v="1"/>
    <n v="1"/>
    <m/>
    <n v="2"/>
    <n v="1"/>
    <m/>
    <m/>
    <m/>
  </r>
  <r>
    <x v="16"/>
    <x v="16"/>
    <n v="1"/>
    <m/>
    <n v="1"/>
    <m/>
    <m/>
    <m/>
    <m/>
    <m/>
    <m/>
    <m/>
  </r>
  <r>
    <x v="16"/>
    <x v="16"/>
    <n v="6"/>
    <m/>
    <m/>
    <m/>
    <m/>
    <n v="5"/>
    <m/>
    <n v="1"/>
    <m/>
    <m/>
  </r>
  <r>
    <x v="20"/>
    <x v="20"/>
    <n v="6"/>
    <m/>
    <n v="1"/>
    <m/>
    <m/>
    <n v="4"/>
    <n v="1"/>
    <m/>
    <m/>
    <m/>
  </r>
  <r>
    <x v="23"/>
    <x v="23"/>
    <n v="1"/>
    <m/>
    <m/>
    <m/>
    <m/>
    <n v="1"/>
    <m/>
    <m/>
    <m/>
    <m/>
  </r>
  <r>
    <x v="5"/>
    <x v="5"/>
    <n v="3"/>
    <m/>
    <m/>
    <n v="1"/>
    <m/>
    <n v="2"/>
    <m/>
    <m/>
    <m/>
    <m/>
  </r>
  <r>
    <x v="7"/>
    <x v="7"/>
    <n v="2"/>
    <m/>
    <n v="1"/>
    <m/>
    <m/>
    <m/>
    <n v="1"/>
    <m/>
    <m/>
    <m/>
  </r>
  <r>
    <x v="20"/>
    <x v="20"/>
    <n v="4"/>
    <m/>
    <n v="1"/>
    <m/>
    <m/>
    <n v="1"/>
    <n v="2"/>
    <m/>
    <m/>
    <m/>
  </r>
  <r>
    <x v="5"/>
    <x v="5"/>
    <n v="7"/>
    <m/>
    <m/>
    <n v="1"/>
    <n v="1"/>
    <n v="3"/>
    <n v="2"/>
    <m/>
    <m/>
    <m/>
  </r>
  <r>
    <x v="22"/>
    <x v="22"/>
    <n v="11"/>
    <m/>
    <m/>
    <n v="1"/>
    <n v="9"/>
    <n v="1"/>
    <m/>
    <m/>
    <m/>
    <m/>
  </r>
  <r>
    <x v="10"/>
    <x v="10"/>
    <n v="10"/>
    <m/>
    <m/>
    <n v="1"/>
    <m/>
    <n v="5"/>
    <n v="3"/>
    <n v="1"/>
    <m/>
    <m/>
  </r>
  <r>
    <x v="16"/>
    <x v="16"/>
    <n v="7"/>
    <m/>
    <m/>
    <m/>
    <n v="6"/>
    <m/>
    <m/>
    <n v="1"/>
    <m/>
    <m/>
  </r>
  <r>
    <x v="13"/>
    <x v="13"/>
    <n v="7"/>
    <m/>
    <n v="2"/>
    <m/>
    <m/>
    <n v="5"/>
    <m/>
    <m/>
    <m/>
    <m/>
  </r>
  <r>
    <x v="5"/>
    <x v="5"/>
    <n v="11"/>
    <m/>
    <n v="1"/>
    <m/>
    <m/>
    <n v="6"/>
    <n v="4"/>
    <m/>
    <m/>
    <m/>
  </r>
  <r>
    <x v="10"/>
    <x v="10"/>
    <n v="16"/>
    <n v="1"/>
    <m/>
    <m/>
    <n v="2"/>
    <n v="10"/>
    <n v="3"/>
    <m/>
    <m/>
    <m/>
  </r>
  <r>
    <x v="16"/>
    <x v="16"/>
    <n v="4"/>
    <m/>
    <m/>
    <m/>
    <n v="3"/>
    <n v="1"/>
    <m/>
    <m/>
    <m/>
    <m/>
  </r>
  <r>
    <x v="18"/>
    <x v="18"/>
    <n v="2"/>
    <m/>
    <m/>
    <m/>
    <m/>
    <n v="2"/>
    <m/>
    <m/>
    <m/>
    <m/>
  </r>
  <r>
    <x v="4"/>
    <x v="4"/>
    <n v="8"/>
    <m/>
    <m/>
    <n v="2"/>
    <m/>
    <n v="5"/>
    <n v="1"/>
    <m/>
    <m/>
    <m/>
  </r>
  <r>
    <x v="1"/>
    <x v="1"/>
    <n v="16"/>
    <m/>
    <n v="3"/>
    <n v="3"/>
    <m/>
    <n v="7"/>
    <n v="3"/>
    <m/>
    <m/>
    <m/>
  </r>
  <r>
    <x v="12"/>
    <x v="12"/>
    <n v="22"/>
    <m/>
    <n v="2"/>
    <n v="4"/>
    <n v="10"/>
    <n v="4"/>
    <m/>
    <n v="2"/>
    <m/>
    <m/>
  </r>
  <r>
    <x v="16"/>
    <x v="16"/>
    <n v="9"/>
    <m/>
    <m/>
    <m/>
    <n v="4"/>
    <n v="1"/>
    <n v="1"/>
    <n v="3"/>
    <m/>
    <m/>
  </r>
  <r>
    <x v="49"/>
    <x v="48"/>
    <n v="21"/>
    <m/>
    <n v="2"/>
    <n v="2"/>
    <n v="4"/>
    <n v="12"/>
    <m/>
    <n v="1"/>
    <m/>
    <m/>
  </r>
  <r>
    <x v="7"/>
    <x v="7"/>
    <n v="3"/>
    <m/>
    <m/>
    <m/>
    <m/>
    <n v="1"/>
    <n v="2"/>
    <m/>
    <m/>
    <m/>
  </r>
  <r>
    <x v="33"/>
    <x v="32"/>
    <n v="2"/>
    <m/>
    <n v="1"/>
    <m/>
    <m/>
    <m/>
    <m/>
    <m/>
    <n v="1"/>
    <m/>
  </r>
  <r>
    <x v="16"/>
    <x v="16"/>
    <n v="5"/>
    <m/>
    <m/>
    <n v="1"/>
    <m/>
    <n v="1"/>
    <n v="3"/>
    <m/>
    <m/>
    <m/>
  </r>
  <r>
    <x v="5"/>
    <x v="5"/>
    <n v="12"/>
    <m/>
    <n v="1"/>
    <m/>
    <m/>
    <n v="8"/>
    <n v="3"/>
    <m/>
    <m/>
    <m/>
  </r>
  <r>
    <x v="20"/>
    <x v="20"/>
    <n v="4"/>
    <m/>
    <n v="1"/>
    <m/>
    <m/>
    <n v="1"/>
    <n v="2"/>
    <m/>
    <m/>
    <m/>
  </r>
  <r>
    <x v="7"/>
    <x v="7"/>
    <n v="2"/>
    <m/>
    <m/>
    <m/>
    <m/>
    <n v="1"/>
    <n v="1"/>
    <m/>
    <m/>
    <m/>
  </r>
  <r>
    <x v="5"/>
    <x v="5"/>
    <n v="9"/>
    <m/>
    <m/>
    <n v="1"/>
    <n v="3"/>
    <n v="5"/>
    <m/>
    <m/>
    <m/>
    <m/>
  </r>
  <r>
    <x v="10"/>
    <x v="10"/>
    <n v="9"/>
    <m/>
    <m/>
    <n v="2"/>
    <m/>
    <n v="5"/>
    <n v="2"/>
    <m/>
    <m/>
    <m/>
  </r>
  <r>
    <x v="9"/>
    <x v="9"/>
    <n v="11"/>
    <m/>
    <n v="2"/>
    <n v="3"/>
    <m/>
    <n v="4"/>
    <n v="2"/>
    <m/>
    <m/>
    <m/>
  </r>
  <r>
    <x v="13"/>
    <x v="13"/>
    <n v="13"/>
    <m/>
    <n v="1"/>
    <n v="3"/>
    <n v="7"/>
    <n v="1"/>
    <n v="1"/>
    <m/>
    <m/>
    <m/>
  </r>
  <r>
    <x v="1"/>
    <x v="1"/>
    <n v="7"/>
    <m/>
    <n v="1"/>
    <n v="1"/>
    <m/>
    <n v="4"/>
    <n v="1"/>
    <m/>
    <m/>
    <m/>
  </r>
  <r>
    <x v="4"/>
    <x v="4"/>
    <n v="2"/>
    <m/>
    <n v="1"/>
    <m/>
    <m/>
    <n v="1"/>
    <m/>
    <m/>
    <m/>
    <m/>
  </r>
  <r>
    <x v="10"/>
    <x v="10"/>
    <n v="16"/>
    <m/>
    <n v="3"/>
    <n v="1"/>
    <n v="1"/>
    <n v="9"/>
    <n v="1"/>
    <n v="1"/>
    <m/>
    <m/>
  </r>
  <r>
    <x v="5"/>
    <x v="5"/>
    <n v="5"/>
    <m/>
    <m/>
    <n v="2"/>
    <m/>
    <n v="3"/>
    <m/>
    <m/>
    <m/>
    <m/>
  </r>
  <r>
    <x v="16"/>
    <x v="16"/>
    <n v="6"/>
    <m/>
    <m/>
    <m/>
    <n v="5"/>
    <n v="1"/>
    <m/>
    <m/>
    <m/>
    <m/>
  </r>
  <r>
    <x v="44"/>
    <x v="43"/>
    <n v="9"/>
    <m/>
    <m/>
    <n v="2"/>
    <n v="3"/>
    <n v="4"/>
    <m/>
    <m/>
    <m/>
    <m/>
  </r>
  <r>
    <x v="20"/>
    <x v="20"/>
    <n v="5"/>
    <m/>
    <m/>
    <n v="1"/>
    <m/>
    <n v="2"/>
    <n v="1"/>
    <n v="1"/>
    <m/>
    <m/>
  </r>
  <r>
    <x v="23"/>
    <x v="23"/>
    <n v="2"/>
    <m/>
    <m/>
    <n v="1"/>
    <m/>
    <n v="1"/>
    <m/>
    <m/>
    <m/>
    <m/>
  </r>
  <r>
    <x v="5"/>
    <x v="5"/>
    <n v="9"/>
    <m/>
    <n v="1"/>
    <m/>
    <m/>
    <n v="7"/>
    <n v="1"/>
    <m/>
    <m/>
    <m/>
  </r>
  <r>
    <x v="50"/>
    <x v="49"/>
    <n v="1"/>
    <m/>
    <m/>
    <m/>
    <m/>
    <m/>
    <n v="1"/>
    <m/>
    <m/>
    <m/>
  </r>
  <r>
    <x v="12"/>
    <x v="12"/>
    <n v="15"/>
    <m/>
    <m/>
    <n v="1"/>
    <n v="6"/>
    <n v="2"/>
    <n v="4"/>
    <n v="2"/>
    <m/>
    <m/>
  </r>
  <r>
    <x v="49"/>
    <x v="48"/>
    <n v="3"/>
    <m/>
    <n v="1"/>
    <m/>
    <m/>
    <n v="2"/>
    <m/>
    <m/>
    <m/>
    <m/>
  </r>
  <r>
    <x v="1"/>
    <x v="1"/>
    <n v="13"/>
    <m/>
    <m/>
    <n v="1"/>
    <n v="10"/>
    <m/>
    <n v="1"/>
    <n v="1"/>
    <m/>
    <m/>
  </r>
  <r>
    <x v="10"/>
    <x v="10"/>
    <n v="6"/>
    <n v="1"/>
    <m/>
    <n v="1"/>
    <m/>
    <n v="3"/>
    <n v="1"/>
    <m/>
    <m/>
    <m/>
  </r>
  <r>
    <x v="5"/>
    <x v="5"/>
    <n v="6"/>
    <n v="1"/>
    <n v="1"/>
    <n v="1"/>
    <m/>
    <n v="2"/>
    <n v="1"/>
    <m/>
    <m/>
    <m/>
  </r>
  <r>
    <x v="16"/>
    <x v="16"/>
    <n v="4"/>
    <m/>
    <m/>
    <n v="1"/>
    <m/>
    <n v="3"/>
    <m/>
    <m/>
    <m/>
    <m/>
  </r>
  <r>
    <x v="11"/>
    <x v="11"/>
    <n v="1"/>
    <m/>
    <m/>
    <m/>
    <m/>
    <n v="1"/>
    <m/>
    <m/>
    <m/>
    <m/>
  </r>
  <r>
    <x v="51"/>
    <x v="50"/>
    <n v="3"/>
    <m/>
    <m/>
    <m/>
    <n v="1"/>
    <n v="2"/>
    <m/>
    <m/>
    <m/>
    <m/>
  </r>
  <r>
    <x v="25"/>
    <x v="25"/>
    <n v="11"/>
    <m/>
    <n v="1"/>
    <n v="1"/>
    <n v="2"/>
    <n v="6"/>
    <n v="1"/>
    <m/>
    <m/>
    <m/>
  </r>
  <r>
    <x v="9"/>
    <x v="9"/>
    <n v="4"/>
    <m/>
    <n v="3"/>
    <m/>
    <m/>
    <n v="1"/>
    <m/>
    <m/>
    <m/>
    <m/>
  </r>
  <r>
    <x v="5"/>
    <x v="5"/>
    <n v="7"/>
    <m/>
    <n v="2"/>
    <n v="2"/>
    <m/>
    <n v="3"/>
    <m/>
    <m/>
    <m/>
    <m/>
  </r>
  <r>
    <x v="16"/>
    <x v="16"/>
    <n v="12"/>
    <m/>
    <n v="1"/>
    <m/>
    <m/>
    <n v="8"/>
    <n v="3"/>
    <m/>
    <m/>
    <m/>
  </r>
  <r>
    <x v="20"/>
    <x v="20"/>
    <n v="1"/>
    <m/>
    <m/>
    <m/>
    <m/>
    <m/>
    <m/>
    <n v="1"/>
    <m/>
    <m/>
  </r>
  <r>
    <x v="10"/>
    <x v="10"/>
    <n v="13"/>
    <m/>
    <n v="2"/>
    <n v="3"/>
    <m/>
    <n v="5"/>
    <n v="2"/>
    <n v="1"/>
    <m/>
    <m/>
  </r>
  <r>
    <x v="7"/>
    <x v="7"/>
    <n v="1"/>
    <m/>
    <m/>
    <m/>
    <m/>
    <n v="1"/>
    <m/>
    <m/>
    <m/>
    <m/>
  </r>
  <r>
    <x v="49"/>
    <x v="48"/>
    <n v="4"/>
    <m/>
    <m/>
    <m/>
    <m/>
    <n v="3"/>
    <n v="1"/>
    <m/>
    <m/>
    <m/>
  </r>
  <r>
    <x v="12"/>
    <x v="12"/>
    <n v="4"/>
    <m/>
    <n v="1"/>
    <m/>
    <m/>
    <n v="1"/>
    <m/>
    <n v="2"/>
    <m/>
    <m/>
  </r>
  <r>
    <x v="16"/>
    <x v="16"/>
    <n v="9"/>
    <m/>
    <m/>
    <n v="1"/>
    <n v="6"/>
    <n v="1"/>
    <m/>
    <n v="1"/>
    <m/>
    <m/>
  </r>
  <r>
    <x v="1"/>
    <x v="1"/>
    <n v="1"/>
    <m/>
    <m/>
    <m/>
    <m/>
    <m/>
    <n v="1"/>
    <m/>
    <m/>
    <m/>
  </r>
  <r>
    <x v="5"/>
    <x v="5"/>
    <n v="1"/>
    <m/>
    <m/>
    <m/>
    <m/>
    <n v="1"/>
    <m/>
    <m/>
    <m/>
    <m/>
  </r>
  <r>
    <x v="12"/>
    <x v="12"/>
    <n v="12"/>
    <m/>
    <n v="1"/>
    <n v="1"/>
    <m/>
    <n v="6"/>
    <n v="2"/>
    <n v="2"/>
    <m/>
    <m/>
  </r>
  <r>
    <x v="25"/>
    <x v="25"/>
    <n v="3"/>
    <m/>
    <m/>
    <m/>
    <m/>
    <n v="2"/>
    <m/>
    <n v="1"/>
    <m/>
    <m/>
  </r>
  <r>
    <x v="16"/>
    <x v="16"/>
    <n v="4"/>
    <m/>
    <m/>
    <n v="2"/>
    <m/>
    <n v="2"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  <r>
    <x v="52"/>
    <x v="51"/>
    <n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růběžné pořadí" cacheId="16" applyNumberFormats="0" applyBorderFormats="0" applyFontFormats="0" applyPatternFormats="0" applyAlignmentFormats="0" applyWidthHeightFormats="0" dataCaption="" updatedVersion="8" rowGrandTotals="0" compact="0" compactData="0">
  <location ref="C1:N54" firstHeaderRow="1" firstDataRow="2" firstDataCol="2"/>
  <pivotFields count="12">
    <pivotField name="Příjmení a jméno" axis="axisRow" compact="0" outline="0" multipleItemSelectionAllowed="1" showAll="0" sortType="descending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Volací jméno psa" axis="axisRow" compact="0" outline="0" multipleItemSelectionAllowed="1" showAll="0" sortType="ascending">
      <items count="53">
        <item x="0"/>
        <item x="4"/>
        <item x="41"/>
        <item x="35"/>
        <item x="26"/>
        <item x="34"/>
        <item x="15"/>
        <item x="40"/>
        <item x="7"/>
        <item x="16"/>
        <item x="44"/>
        <item x="46"/>
        <item x="50"/>
        <item x="12"/>
        <item x="27"/>
        <item x="20"/>
        <item x="11"/>
        <item x="47"/>
        <item x="36"/>
        <item x="5"/>
        <item x="31"/>
        <item x="14"/>
        <item x="24"/>
        <item x="30"/>
        <item x="3"/>
        <item x="48"/>
        <item x="1"/>
        <item x="21"/>
        <item x="22"/>
        <item x="29"/>
        <item x="23"/>
        <item x="6"/>
        <item x="38"/>
        <item x="45"/>
        <item x="49"/>
        <item x="39"/>
        <item x="43"/>
        <item x="18"/>
        <item x="13"/>
        <item x="28"/>
        <item x="9"/>
        <item x="25"/>
        <item x="37"/>
        <item x="10"/>
        <item x="2"/>
        <item x="33"/>
        <item x="32"/>
        <item x="42"/>
        <item x="19"/>
        <item x="17"/>
        <item x="8"/>
        <item x="51"/>
        <item t="default"/>
      </items>
    </pivotField>
    <pivotField name="Body" dataField="1" compact="0" outline="0" multipleItemSelectionAllowed="1" showAll="0"/>
    <pivotField name="NP" dataField="1" compact="0" outline="0" multipleItemSelectionAllowed="1" showAll="0"/>
    <pivotField name="NPP" dataField="1" compact="0" outline="0" multipleItemSelectionAllowed="1" showAll="0"/>
    <pivotField name="NPR" dataField="1" compact="0" outline="0" multipleItemSelectionAllowed="1" showAll="0"/>
    <pivotField name="1000 m." dataField="1" compact="0" outline="0" multipleItemSelectionAllowed="1" showAll="0"/>
    <pivotField name="Rozhledny" dataField="1" compact="0" outline="0" multipleItemSelectionAllowed="1" showAll="0"/>
    <pivotField name="Soutoky" dataField="1" compact="0" outline="0" multipleItemSelectionAllowed="1" showAll="0"/>
    <pivotField name="Prameny" dataField="1" compact="0" outline="0" multipleItemSelectionAllowed="1" showAll="0"/>
    <pivotField name="Bájná hora Říp" dataField="1" compact="0" outline="0" multipleItemSelectionAllowed="1" showAll="0"/>
    <pivotField name="Bájná hora Blaník" dataField="1" compact="0" outline="0" multipleItemSelectionAllowed="1" showAll="0"/>
  </pivotFields>
  <rowFields count="2">
    <field x="0"/>
    <field x="1"/>
  </rowFields>
  <rowItems count="53">
    <i>
      <x v="10"/>
      <x v="43"/>
    </i>
    <i>
      <x v="5"/>
      <x v="19"/>
    </i>
    <i>
      <x v="16"/>
      <x v="9"/>
    </i>
    <i>
      <x v="12"/>
      <x v="13"/>
    </i>
    <i>
      <x v="1"/>
      <x v="26"/>
    </i>
    <i>
      <x v="22"/>
      <x v="28"/>
    </i>
    <i>
      <x v="20"/>
      <x v="15"/>
    </i>
    <i>
      <x v="13"/>
      <x v="38"/>
    </i>
    <i>
      <x v="9"/>
      <x v="40"/>
    </i>
    <i>
      <x v="33"/>
      <x v="46"/>
    </i>
    <i>
      <x v="18"/>
      <x v="37"/>
    </i>
    <i>
      <x v="25"/>
      <x v="41"/>
    </i>
    <i>
      <x v="11"/>
      <x v="16"/>
    </i>
    <i>
      <x v="7"/>
      <x v="8"/>
    </i>
    <i>
      <x v="38"/>
      <x v="42"/>
    </i>
    <i>
      <x v="14"/>
      <x v="21"/>
    </i>
    <i>
      <x v="49"/>
      <x v="25"/>
    </i>
    <i>
      <x/>
      <x/>
    </i>
    <i>
      <x v="28"/>
      <x v="39"/>
    </i>
    <i>
      <x v="23"/>
      <x v="30"/>
    </i>
    <i>
      <x v="27"/>
      <x v="14"/>
    </i>
    <i>
      <x v="31"/>
      <x v="23"/>
    </i>
    <i>
      <x v="40"/>
      <x v="35"/>
    </i>
    <i>
      <x v="4"/>
      <x v="1"/>
    </i>
    <i>
      <x v="2"/>
      <x v="44"/>
    </i>
    <i>
      <x v="30"/>
      <x v="39"/>
    </i>
    <i>
      <x v="3"/>
      <x v="24"/>
    </i>
    <i>
      <x v="50"/>
      <x v="34"/>
    </i>
    <i>
      <x v="37"/>
      <x v="18"/>
    </i>
    <i>
      <x v="44"/>
      <x v="36"/>
    </i>
    <i>
      <x v="19"/>
      <x v="48"/>
    </i>
    <i>
      <x v="48"/>
      <x v="17"/>
    </i>
    <i>
      <x v="8"/>
      <x v="50"/>
    </i>
    <i>
      <x v="32"/>
      <x v="20"/>
    </i>
    <i>
      <x v="46"/>
      <x v="33"/>
    </i>
    <i>
      <x v="36"/>
      <x v="3"/>
    </i>
    <i>
      <x v="15"/>
      <x v="6"/>
    </i>
    <i>
      <x v="26"/>
      <x v="4"/>
    </i>
    <i>
      <x v="6"/>
      <x v="31"/>
    </i>
    <i>
      <x v="17"/>
      <x v="49"/>
    </i>
    <i>
      <x v="29"/>
      <x v="29"/>
    </i>
    <i>
      <x v="34"/>
      <x v="45"/>
    </i>
    <i>
      <x v="51"/>
      <x v="12"/>
    </i>
    <i>
      <x v="41"/>
      <x v="7"/>
    </i>
    <i>
      <x v="42"/>
      <x v="2"/>
    </i>
    <i>
      <x v="45"/>
      <x v="10"/>
    </i>
    <i>
      <x v="43"/>
      <x v="47"/>
    </i>
    <i>
      <x v="39"/>
      <x v="32"/>
    </i>
    <i>
      <x v="21"/>
      <x v="27"/>
    </i>
    <i>
      <x v="47"/>
      <x v="11"/>
    </i>
    <i>
      <x v="35"/>
      <x v="5"/>
    </i>
    <i>
      <x v="24"/>
      <x v="22"/>
    </i>
    <i>
      <x v="52"/>
      <x v="51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Body celkem" fld="2" baseField="0"/>
    <dataField name="NP" fld="3" baseField="0"/>
    <dataField name="NPP" fld="4" baseField="0"/>
    <dataField name="NPR" fld="5" baseField="0"/>
    <dataField name="1000 m." fld="6" baseField="0"/>
    <dataField name="Rozhledny" fld="7" baseField="0"/>
    <dataField name="Soutoky" fld="8" baseField="0"/>
    <dataField name="Prameny" fld="9" baseField="0"/>
    <dataField name="Říp" fld="10" baseField="0"/>
    <dataField name="Blaník" fld="11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Navštívená místa" cacheId="11" dataOnRows="1" applyNumberFormats="0" applyBorderFormats="0" applyFontFormats="0" applyPatternFormats="0" applyAlignmentFormats="0" applyWidthHeightFormats="0" dataCaption="" updatedVersion="8" compact="0" compactData="0">
  <location ref="B4:C13" firstHeaderRow="1" firstDataRow="1" firstDataCol="1"/>
  <pivotFields count="15">
    <pivotField name=" " compact="0" outline="0" multipleItemSelectionAllowed="1" showAll="0"/>
    <pivotField name="Datum navštívení" compact="0" numFmtId="164" outline="0" multipleItemSelectionAllowed="1" showAll="0"/>
    <pivotField name="Příjmení a jméno" compact="0" outline="0" multipleItemSelectionAllowed="1" showAll="0"/>
    <pivotField name="Volací jméno psa" compact="0" outline="0" multipleItemSelectionAllowed="1" showAll="0"/>
    <pivotField name="Body" compact="0" outline="0" multipleItemSelectionAllowed="1" showAll="0"/>
    <pivotField name="NP" dataField="1" compact="0" outline="0" multipleItemSelectionAllowed="1" showAll="0"/>
    <pivotField name="NPP" dataField="1" compact="0" outline="0" multipleItemSelectionAllowed="1" showAll="0"/>
    <pivotField name="NPR" dataField="1" compact="0" outline="0" multipleItemSelectionAllowed="1" showAll="0"/>
    <pivotField name="1000 m." dataField="1" compact="0" outline="0" multipleItemSelectionAllowed="1" showAll="0"/>
    <pivotField name="Rozhledny" dataField="1" compact="0" outline="0" multipleItemSelectionAllowed="1" showAll="0"/>
    <pivotField name="Soutoky" dataField="1" compact="0" outline="0" multipleItemSelectionAllowed="1" showAll="0"/>
    <pivotField name="Prameny" dataField="1" compact="0" outline="0" multipleItemSelectionAllowed="1" showAll="0"/>
    <pivotField name="Bájná hora Říp" dataField="1" compact="0" outline="0" multipleItemSelectionAllowed="1" showAll="0"/>
    <pivotField name="Bájná hora Blaník" dataField="1" compact="0" outline="0" multipleItemSelectionAllowed="1" showAll="0"/>
    <pivotField name="Navštívená místa_x000a_(červeně = psi nevítáni)" compact="0" outline="0" multipleItemSelectionAllowed="1"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name="Národní parky" fld="5" baseField="0"/>
    <dataField name="Nár. přírodní památka" fld="6" baseField="0"/>
    <dataField name="Nár. přírodní rezervace" fld="7" baseField="0"/>
    <dataField name="1000 m." fld="8" baseField="0"/>
    <dataField name="Rozhledny" fld="9" baseField="0"/>
    <dataField name="Soutoky význam. řek" fld="10" baseField="0"/>
    <dataField name="Prameny význ. řek" fld="11" baseField="0"/>
    <dataField name="Bájná hora Říp" fld="12" baseField="0"/>
    <dataField name="Bájná hora Blaník" fld="13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Seznam míst podle jmen" cacheId="8" applyNumberFormats="0" applyBorderFormats="0" applyFontFormats="0" applyPatternFormats="0" applyAlignmentFormats="0" applyWidthHeightFormats="0" dataCaption="" updatedVersion="8" rowGrandTotals="0" compact="0" compactData="0">
  <location ref="A1:C809" firstHeaderRow="1" firstDataRow="1" firstDataCol="3"/>
  <pivotFields count="17">
    <pivotField name=" " compact="0" outline="0" multipleItemSelectionAllowed="1" showAll="0"/>
    <pivotField name="Datum navštívení" axis="axisRow" compact="0" numFmtId="164" outline="0" multipleItemSelectionAllowed="1" showAll="0" sortType="ascending" defaultSubtota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</items>
    </pivotField>
    <pivotField name="Příjmení a jméno" axis="axisRow" compact="0" outline="0" multipleItemSelectionAllowed="1" showAll="0" sortType="ascending" defaultSubtotal="0">
      <items count="53">
        <item x="6"/>
        <item x="15"/>
        <item x="34"/>
        <item x="40"/>
        <item x="43"/>
        <item x="42"/>
        <item x="26"/>
        <item x="51"/>
        <item x="46"/>
        <item x="29"/>
        <item x="38"/>
        <item x="14"/>
        <item x="5"/>
        <item x="49"/>
        <item x="24"/>
        <item x="25"/>
        <item x="7"/>
        <item x="18"/>
        <item x="19"/>
        <item x="32"/>
        <item x="16"/>
        <item x="44"/>
        <item x="45"/>
        <item x="13"/>
        <item x="9"/>
        <item x="21"/>
        <item x="1"/>
        <item x="33"/>
        <item x="41"/>
        <item x="50"/>
        <item x="17"/>
        <item x="39"/>
        <item x="27"/>
        <item x="8"/>
        <item x="23"/>
        <item x="20"/>
        <item x="35"/>
        <item x="3"/>
        <item x="47"/>
        <item x="31"/>
        <item x="28"/>
        <item x="36"/>
        <item x="22"/>
        <item x="4"/>
        <item x="11"/>
        <item x="30"/>
        <item x="0"/>
        <item x="37"/>
        <item x="48"/>
        <item x="2"/>
        <item x="10"/>
        <item x="12"/>
        <item x="52"/>
      </items>
    </pivotField>
    <pivotField name="Volací jméno psa" compact="0" outline="0" multipleItemSelectionAllowed="1" showAll="0"/>
    <pivotField name="Body" compact="0" outline="0" multipleItemSelectionAllowed="1" showAll="0"/>
    <pivotField name="NP" compact="0" outline="0" multipleItemSelectionAllowed="1" showAll="0"/>
    <pivotField name="NPP" compact="0" outline="0" multipleItemSelectionAllowed="1" showAll="0"/>
    <pivotField name="NPR" compact="0" outline="0" multipleItemSelectionAllowed="1" showAll="0"/>
    <pivotField name="1000 m." compact="0" outline="0" multipleItemSelectionAllowed="1" showAll="0"/>
    <pivotField name="Rozhledny" compact="0" outline="0" multipleItemSelectionAllowed="1" showAll="0"/>
    <pivotField name="Soutoky" compact="0" outline="0" multipleItemSelectionAllowed="1" showAll="0"/>
    <pivotField name="Prameny" compact="0" outline="0" multipleItemSelectionAllowed="1" showAll="0"/>
    <pivotField name="Bájná hora Říp" compact="0" outline="0" multipleItemSelectionAllowed="1" showAll="0"/>
    <pivotField name="Bájná hora Blaník" compact="0" outline="0" multipleItemSelectionAllowed="1" showAll="0"/>
    <pivotField name="Navštívená místa" axis="axisRow" compact="0" outline="0" multipleItemSelectionAllowed="1" showAll="0" sortType="ascending">
      <items count="717">
        <item x="152"/>
        <item x="491"/>
        <item x="130"/>
        <item x="46"/>
        <item x="366"/>
        <item x="679"/>
        <item x="0"/>
        <item x="60"/>
        <item x="635"/>
        <item x="280"/>
        <item x="17"/>
        <item x="369"/>
        <item x="230"/>
        <item x="323"/>
        <item x="220"/>
        <item x="707"/>
        <item x="428"/>
        <item x="178"/>
        <item x="368"/>
        <item x="132"/>
        <item x="300"/>
        <item x="281"/>
        <item x="54"/>
        <item x="51"/>
        <item x="713"/>
        <item x="417"/>
        <item x="596"/>
        <item x="263"/>
        <item x="457"/>
        <item x="375"/>
        <item x="76"/>
        <item x="21"/>
        <item x="112"/>
        <item x="206"/>
        <item x="566"/>
        <item x="598"/>
        <item x="134"/>
        <item x="66"/>
        <item x="65"/>
        <item x="233"/>
        <item x="478"/>
        <item x="498"/>
        <item x="706"/>
        <item x="321"/>
        <item x="14"/>
        <item x="84"/>
        <item x="216"/>
        <item x="355"/>
        <item x="456"/>
        <item x="538"/>
        <item x="18"/>
        <item x="425"/>
        <item x="275"/>
        <item x="13"/>
        <item x="242"/>
        <item x="219"/>
        <item x="432"/>
        <item x="246"/>
        <item x="34"/>
        <item x="361"/>
        <item x="209"/>
        <item x="293"/>
        <item x="257"/>
        <item x="646"/>
        <item x="567"/>
        <item x="338"/>
        <item x="602"/>
        <item x="148"/>
        <item x="400"/>
        <item x="620"/>
        <item x="38"/>
        <item x="533"/>
        <item x="312"/>
        <item x="556"/>
        <item x="143"/>
        <item x="383"/>
        <item x="360"/>
        <item x="273"/>
        <item x="55"/>
        <item x="47"/>
        <item x="668"/>
        <item x="537"/>
        <item x="147"/>
        <item x="372"/>
        <item x="434"/>
        <item x="80"/>
        <item x="595"/>
        <item x="406"/>
        <item x="241"/>
        <item x="91"/>
        <item x="224"/>
        <item x="499"/>
        <item x="4"/>
        <item x="266"/>
        <item x="583"/>
        <item x="526"/>
        <item x="19"/>
        <item x="104"/>
        <item x="89"/>
        <item x="59"/>
        <item x="278"/>
        <item x="191"/>
        <item x="167"/>
        <item x="145"/>
        <item x="463"/>
        <item x="243"/>
        <item x="251"/>
        <item x="8"/>
        <item x="16"/>
        <item x="350"/>
        <item x="225"/>
        <item x="304"/>
        <item x="57"/>
        <item x="485"/>
        <item x="332"/>
        <item x="464"/>
        <item x="295"/>
        <item x="570"/>
        <item x="370"/>
        <item x="654"/>
        <item x="481"/>
        <item x="317"/>
        <item x="589"/>
        <item x="195"/>
        <item x="296"/>
        <item x="124"/>
        <item x="616"/>
        <item x="334"/>
        <item x="333"/>
        <item x="565"/>
        <item x="446"/>
        <item x="469"/>
        <item x="320"/>
        <item x="265"/>
        <item x="553"/>
        <item x="196"/>
        <item x="631"/>
        <item x="125"/>
        <item x="165"/>
        <item x="645"/>
        <item x="390"/>
        <item x="7"/>
        <item x="181"/>
        <item x="326"/>
        <item x="588"/>
        <item x="525"/>
        <item x="127"/>
        <item x="270"/>
        <item x="82"/>
        <item x="68"/>
        <item x="228"/>
        <item x="49"/>
        <item x="255"/>
        <item x="109"/>
        <item x="411"/>
        <item x="329"/>
        <item x="58"/>
        <item x="594"/>
        <item x="133"/>
        <item x="606"/>
        <item x="460"/>
        <item x="139"/>
        <item x="9"/>
        <item x="254"/>
        <item x="429"/>
        <item x="271"/>
        <item x="523"/>
        <item x="146"/>
        <item x="210"/>
        <item x="164"/>
        <item x="388"/>
        <item x="199"/>
        <item x="380"/>
        <item x="407"/>
        <item x="138"/>
        <item x="238"/>
        <item x="94"/>
        <item x="267"/>
        <item x="571"/>
        <item x="575"/>
        <item x="560"/>
        <item x="284"/>
        <item x="401"/>
        <item x="336"/>
        <item x="200"/>
        <item x="75"/>
        <item x="53"/>
        <item x="343"/>
        <item x="389"/>
        <item x="617"/>
        <item x="502"/>
        <item x="159"/>
        <item x="129"/>
        <item x="459"/>
        <item x="586"/>
        <item x="20"/>
        <item x="518"/>
        <item x="208"/>
        <item x="88"/>
        <item x="70"/>
        <item x="93"/>
        <item x="186"/>
        <item x="697"/>
        <item x="546"/>
        <item x="315"/>
        <item x="176"/>
        <item x="316"/>
        <item x="666"/>
        <item x="354"/>
        <item x="116"/>
        <item x="696"/>
        <item x="440"/>
        <item x="327"/>
        <item x="452"/>
        <item x="648"/>
        <item x="483"/>
        <item x="356"/>
        <item x="297"/>
        <item x="580"/>
        <item x="353"/>
        <item x="475"/>
        <item x="217"/>
        <item x="282"/>
        <item x="402"/>
        <item x="536"/>
        <item x="349"/>
        <item x="431"/>
        <item x="291"/>
        <item x="276"/>
        <item x="689"/>
        <item x="627"/>
        <item x="173"/>
        <item x="511"/>
        <item x="261"/>
        <item x="322"/>
        <item x="409"/>
        <item x="244"/>
        <item x="614"/>
        <item x="99"/>
        <item x="391"/>
        <item x="325"/>
        <item x="252"/>
        <item x="615"/>
        <item x="587"/>
        <item x="412"/>
        <item x="611"/>
        <item x="489"/>
        <item x="510"/>
        <item x="482"/>
        <item x="235"/>
        <item x="543"/>
        <item x="692"/>
        <item x="636"/>
        <item x="413"/>
        <item x="612"/>
        <item x="626"/>
        <item x="212"/>
        <item x="519"/>
        <item x="436"/>
        <item x="701"/>
        <item x="686"/>
        <item x="177"/>
        <item x="540"/>
        <item x="50"/>
        <item x="345"/>
        <item x="292"/>
        <item x="516"/>
        <item x="342"/>
        <item x="705"/>
        <item x="288"/>
        <item x="528"/>
        <item x="415"/>
        <item x="618"/>
        <item x="214"/>
        <item x="393"/>
        <item x="529"/>
        <item x="592"/>
        <item x="433"/>
        <item x="335"/>
        <item x="542"/>
        <item x="348"/>
        <item x="659"/>
        <item x="619"/>
        <item x="539"/>
        <item x="274"/>
        <item x="708"/>
        <item x="69"/>
        <item x="561"/>
        <item x="420"/>
        <item x="226"/>
        <item x="665"/>
        <item x="140"/>
        <item x="578"/>
        <item x="231"/>
        <item x="593"/>
        <item x="638"/>
        <item x="97"/>
        <item x="357"/>
        <item x="319"/>
        <item x="119"/>
        <item x="213"/>
        <item x="150"/>
        <item x="652"/>
        <item x="367"/>
        <item x="105"/>
        <item x="623"/>
        <item x="229"/>
        <item x="675"/>
        <item x="314"/>
        <item x="371"/>
        <item x="468"/>
        <item x="448"/>
        <item x="414"/>
        <item x="6"/>
        <item x="447"/>
        <item x="190"/>
        <item x="340"/>
        <item x="430"/>
        <item x="441"/>
        <item x="87"/>
        <item x="541"/>
        <item x="86"/>
        <item x="378"/>
        <item x="110"/>
        <item x="700"/>
        <item x="126"/>
        <item x="584"/>
        <item x="386"/>
        <item x="154"/>
        <item x="683"/>
        <item x="555"/>
        <item x="527"/>
        <item x="658"/>
        <item x="684"/>
        <item x="171"/>
        <item x="399"/>
        <item x="513"/>
        <item x="379"/>
        <item x="269"/>
        <item x="653"/>
        <item x="374"/>
        <item x="359"/>
        <item x="394"/>
        <item x="3"/>
        <item x="642"/>
        <item x="302"/>
        <item x="515"/>
        <item x="324"/>
        <item x="550"/>
        <item x="548"/>
        <item x="506"/>
        <item x="514"/>
        <item x="509"/>
        <item x="95"/>
        <item x="504"/>
        <item x="630"/>
        <item x="632"/>
        <item x="187"/>
        <item x="599"/>
        <item x="207"/>
        <item x="11"/>
        <item x="71"/>
        <item x="341"/>
        <item x="405"/>
        <item x="530"/>
        <item x="449"/>
        <item x="628"/>
        <item x="670"/>
        <item x="462"/>
        <item x="309"/>
        <item x="287"/>
        <item x="507"/>
        <item x="545"/>
        <item x="111"/>
        <item x="564"/>
        <item x="577"/>
        <item x="298"/>
        <item x="239"/>
        <item x="179"/>
        <item x="346"/>
        <item x="664"/>
        <item x="122"/>
        <item x="311"/>
        <item x="174"/>
        <item x="419"/>
        <item x="113"/>
        <item x="585"/>
        <item x="422"/>
        <item x="678"/>
        <item x="72"/>
        <item x="245"/>
        <item x="551"/>
        <item x="215"/>
        <item x="673"/>
        <item x="443"/>
        <item x="677"/>
        <item x="310"/>
        <item x="497"/>
        <item x="694"/>
        <item x="313"/>
        <item x="279"/>
        <item x="115"/>
        <item x="435"/>
        <item x="473"/>
        <item x="289"/>
        <item x="28"/>
        <item x="671"/>
        <item x="382"/>
        <item x="682"/>
        <item x="685"/>
        <item x="479"/>
        <item x="421"/>
        <item x="155"/>
        <item x="517"/>
        <item x="505"/>
        <item x="163"/>
        <item x="392"/>
        <item x="629"/>
        <item x="640"/>
        <item x="454"/>
        <item x="237"/>
        <item x="655"/>
        <item x="123"/>
        <item x="305"/>
        <item x="591"/>
        <item x="487"/>
        <item x="702"/>
        <item x="437"/>
        <item x="535"/>
        <item x="573"/>
        <item x="574"/>
        <item x="403"/>
        <item x="142"/>
        <item x="472"/>
        <item x="534"/>
        <item x="703"/>
        <item x="712"/>
        <item x="524"/>
        <item x="377"/>
        <item x="445"/>
        <item x="232"/>
        <item x="442"/>
        <item x="493"/>
        <item x="512"/>
        <item x="661"/>
        <item x="427"/>
        <item x="680"/>
        <item x="157"/>
        <item x="236"/>
        <item x="557"/>
        <item x="385"/>
        <item x="624"/>
        <item x="709"/>
        <item x="365"/>
        <item x="364"/>
        <item x="286"/>
        <item x="358"/>
        <item x="396"/>
        <item x="650"/>
        <item x="634"/>
        <item x="494"/>
        <item x="590"/>
        <item x="175"/>
        <item x="558"/>
        <item x="669"/>
        <item x="458"/>
        <item x="197"/>
        <item x="96"/>
        <item x="698"/>
        <item x="160"/>
        <item x="250"/>
        <item x="78"/>
        <item x="451"/>
        <item x="676"/>
        <item x="613"/>
        <item x="544"/>
        <item x="337"/>
        <item x="608"/>
        <item x="522"/>
        <item x="549"/>
        <item x="268"/>
        <item x="102"/>
        <item x="681"/>
        <item x="330"/>
        <item x="563"/>
        <item x="474"/>
        <item x="79"/>
        <item x="100"/>
        <item x="303"/>
        <item x="597"/>
        <item x="35"/>
        <item x="496"/>
        <item x="29"/>
        <item x="552"/>
        <item x="42"/>
        <item x="438"/>
        <item x="153"/>
        <item x="600"/>
        <item x="492"/>
        <item x="180"/>
        <item x="170"/>
        <item x="128"/>
        <item x="520"/>
        <item x="691"/>
        <item x="23"/>
        <item x="476"/>
        <item x="639"/>
        <item x="188"/>
        <item x="248"/>
        <item x="687"/>
        <item x="484"/>
        <item x="651"/>
        <item x="395"/>
        <item x="649"/>
        <item x="470"/>
        <item x="622"/>
        <item x="576"/>
        <item x="318"/>
        <item x="423"/>
        <item x="344"/>
        <item x="290"/>
        <item x="581"/>
        <item x="43"/>
        <item x="40"/>
        <item x="657"/>
        <item x="477"/>
        <item x="247"/>
        <item x="67"/>
        <item x="547"/>
        <item x="387"/>
        <item x="641"/>
        <item x="695"/>
        <item x="532"/>
        <item x="644"/>
        <item x="471"/>
        <item x="453"/>
        <item x="22"/>
        <item x="156"/>
        <item x="162"/>
        <item x="272"/>
        <item x="690"/>
        <item x="306"/>
        <item x="714"/>
        <item x="662"/>
        <item x="660"/>
        <item x="63"/>
        <item x="647"/>
        <item x="114"/>
        <item x="559"/>
        <item x="373"/>
        <item x="601"/>
        <item x="410"/>
        <item x="693"/>
        <item x="418"/>
        <item x="118"/>
        <item x="256"/>
        <item x="283"/>
        <item x="667"/>
        <item x="98"/>
        <item x="131"/>
        <item x="221"/>
        <item x="531"/>
        <item x="603"/>
        <item x="168"/>
        <item x="408"/>
        <item x="193"/>
        <item x="194"/>
        <item x="144"/>
        <item x="74"/>
        <item x="554"/>
        <item x="376"/>
        <item x="711"/>
        <item x="347"/>
        <item x="90"/>
        <item x="211"/>
        <item x="52"/>
        <item x="218"/>
        <item x="222"/>
        <item x="637"/>
        <item x="137"/>
        <item x="331"/>
        <item x="704"/>
        <item x="495"/>
        <item x="120"/>
        <item x="103"/>
        <item x="672"/>
        <item x="48"/>
        <item x="500"/>
        <item x="83"/>
        <item x="466"/>
        <item x="106"/>
        <item x="5"/>
        <item x="77"/>
        <item x="643"/>
        <item x="189"/>
        <item x="308"/>
        <item x="384"/>
        <item x="26"/>
        <item x="15"/>
        <item x="36"/>
        <item x="33"/>
        <item x="32"/>
        <item x="30"/>
        <item x="27"/>
        <item x="31"/>
        <item x="37"/>
        <item x="39"/>
        <item x="12"/>
        <item x="579"/>
        <item x="223"/>
        <item x="227"/>
        <item x="73"/>
        <item x="404"/>
        <item x="674"/>
        <item x="688"/>
        <item x="149"/>
        <item x="607"/>
        <item x="2"/>
        <item x="294"/>
        <item x="92"/>
        <item x="444"/>
        <item x="121"/>
        <item x="416"/>
        <item x="204"/>
        <item x="277"/>
        <item x="397"/>
        <item x="381"/>
        <item x="621"/>
        <item x="64"/>
        <item x="264"/>
        <item x="25"/>
        <item x="424"/>
        <item x="240"/>
        <item x="604"/>
        <item x="198"/>
        <item x="108"/>
        <item x="710"/>
        <item x="107"/>
        <item x="151"/>
        <item x="328"/>
        <item x="258"/>
        <item x="307"/>
        <item x="455"/>
        <item x="625"/>
        <item x="465"/>
        <item x="183"/>
        <item x="203"/>
        <item x="158"/>
        <item x="501"/>
        <item x="249"/>
        <item x="41"/>
        <item x="135"/>
        <item x="136"/>
        <item x="182"/>
        <item x="633"/>
        <item x="480"/>
        <item x="202"/>
        <item x="299"/>
        <item x="663"/>
        <item x="656"/>
        <item x="24"/>
        <item x="352"/>
        <item x="351"/>
        <item x="185"/>
        <item x="56"/>
        <item x="161"/>
        <item x="262"/>
        <item x="184"/>
        <item x="85"/>
        <item x="488"/>
        <item x="61"/>
        <item x="260"/>
        <item x="490"/>
        <item x="81"/>
        <item x="101"/>
        <item x="521"/>
        <item x="461"/>
        <item x="467"/>
        <item x="253"/>
        <item x="44"/>
        <item x="398"/>
        <item x="169"/>
        <item x="486"/>
        <item x="362"/>
        <item x="363"/>
        <item x="439"/>
        <item x="259"/>
        <item x="609"/>
        <item x="605"/>
        <item x="699"/>
        <item x="1"/>
        <item x="301"/>
        <item x="117"/>
        <item x="192"/>
        <item x="205"/>
        <item x="562"/>
        <item x="568"/>
        <item x="201"/>
        <item x="339"/>
        <item x="426"/>
        <item x="503"/>
        <item x="569"/>
        <item x="572"/>
        <item x="285"/>
        <item x="610"/>
        <item x="45"/>
        <item x="10"/>
        <item x="582"/>
        <item x="234"/>
        <item x="62"/>
        <item x="508"/>
        <item x="166"/>
        <item x="172"/>
        <item x="450"/>
        <item x="141"/>
        <item x="715"/>
        <item t="default"/>
      </items>
    </pivotField>
    <pivotField name="Psi nevítáni v místě:" compact="0" outline="0" multipleItemSelectionAllowed="1" showAll="0"/>
    <pivotField name="Odkaz na trasu _x000a_(nejlépe na - mapy.cz)" compact="0" outline="0" multipleItemSelectionAllowed="1" showAll="0"/>
  </pivotFields>
  <rowFields count="3">
    <field x="2"/>
    <field x="1"/>
    <field x="14"/>
  </rowFields>
  <rowItems count="808">
    <i>
      <x/>
      <x v="6"/>
      <x v="107"/>
    </i>
    <i r="1">
      <x v="30"/>
      <x v="38"/>
    </i>
    <i>
      <x v="1"/>
      <x v="16"/>
      <x v="602"/>
    </i>
    <i r="1">
      <x v="30"/>
      <x v="37"/>
    </i>
    <i r="1">
      <x v="172"/>
      <x v="587"/>
    </i>
    <i>
      <x v="2"/>
      <x v="64"/>
      <x v="261"/>
    </i>
    <i r="1">
      <x v="153"/>
      <x v="620"/>
    </i>
    <i>
      <x v="3"/>
      <x v="90"/>
      <x v="93"/>
    </i>
    <i r="1">
      <x v="91"/>
      <x v="539"/>
    </i>
    <i r="1">
      <x v="107"/>
      <x v="132"/>
    </i>
    <i r="1">
      <x v="124"/>
      <x v="18"/>
    </i>
    <i r="1">
      <x v="131"/>
      <x v="694"/>
    </i>
    <i r="1">
      <x v="135"/>
      <x v="625"/>
    </i>
    <i r="1">
      <x v="136"/>
      <x v="182"/>
    </i>
    <i r="1">
      <x v="147"/>
      <x v="16"/>
    </i>
    <i r="1">
      <x v="149"/>
      <x v="427"/>
    </i>
    <i r="1">
      <x v="206"/>
      <x v="122"/>
    </i>
    <i r="1">
      <x v="210"/>
      <x v="66"/>
    </i>
    <i r="1">
      <x v="212"/>
      <x v="477"/>
    </i>
    <i>
      <x v="4"/>
      <x v="95"/>
      <x v="703"/>
    </i>
    <i>
      <x v="5"/>
      <x v="93"/>
      <x v="222"/>
    </i>
    <i>
      <x v="6"/>
      <x v="41"/>
      <x v="304"/>
    </i>
    <i r="1">
      <x v="82"/>
      <x v="39"/>
    </i>
    <i r="1">
      <x v="89"/>
      <x v="233"/>
    </i>
    <i>
      <x v="7"/>
      <x v="240"/>
      <x v="689"/>
    </i>
    <i>
      <x v="8"/>
      <x v="104"/>
      <x v="204"/>
    </i>
    <i>
      <x v="9"/>
      <x v="54"/>
      <x v="432"/>
    </i>
    <i>
      <x v="10"/>
      <x v="84"/>
      <x v="632"/>
    </i>
    <i r="1">
      <x v="89"/>
      <x v="686"/>
    </i>
    <i r="1">
      <x v="90"/>
      <x v="177"/>
    </i>
    <i r="1">
      <x v="93"/>
      <x v="624"/>
    </i>
    <i r="1">
      <x v="95"/>
      <x v="299"/>
    </i>
    <i r="1">
      <x v="99"/>
      <x v="657"/>
    </i>
    <i r="1">
      <x v="103"/>
      <x v="382"/>
    </i>
    <i r="1">
      <x v="112"/>
      <x v="698"/>
    </i>
    <i r="1">
      <x v="119"/>
      <x v="76"/>
    </i>
    <i r="1">
      <x v="140"/>
      <x v="154"/>
    </i>
    <i r="1">
      <x v="141"/>
      <x v="622"/>
    </i>
    <i r="1">
      <x v="159"/>
      <x v="676"/>
    </i>
    <i r="1">
      <x v="186"/>
      <x v="275"/>
    </i>
    <i r="1">
      <x v="226"/>
      <x v="214"/>
    </i>
    <i>
      <x v="11"/>
      <x v="10"/>
      <x v="10"/>
    </i>
    <i r="1">
      <x v="15"/>
      <x v="597"/>
    </i>
    <i r="1">
      <x v="17"/>
      <x v="599"/>
    </i>
    <i r="1">
      <x v="23"/>
      <x v="151"/>
    </i>
    <i r="1">
      <x v="28"/>
      <x v="670"/>
    </i>
    <i r="1">
      <x v="30"/>
      <x v="38"/>
    </i>
    <i r="1">
      <x v="36"/>
      <x v="668"/>
    </i>
    <i r="1">
      <x v="49"/>
      <x v="192"/>
    </i>
    <i r="1">
      <x v="54"/>
      <x v="167"/>
    </i>
    <i r="1">
      <x v="62"/>
      <x v="500"/>
    </i>
    <i r="1">
      <x v="64"/>
      <x v="334"/>
    </i>
    <i r="1">
      <x v="70"/>
      <x v="466"/>
    </i>
    <i r="1">
      <x v="78"/>
      <x v="560"/>
    </i>
    <i r="1">
      <x v="82"/>
      <x v="289"/>
    </i>
    <i r="1">
      <x v="99"/>
      <x v="618"/>
    </i>
    <i r="1">
      <x v="102"/>
      <x v="641"/>
    </i>
    <i r="1">
      <x v="108"/>
      <x v="13"/>
    </i>
    <i r="1">
      <x v="117"/>
      <x v="661"/>
    </i>
    <i r="1">
      <x v="120"/>
      <x v="683"/>
    </i>
    <i r="1">
      <x v="121"/>
      <x v="453"/>
    </i>
    <i r="1">
      <x v="129"/>
      <x v="75"/>
    </i>
    <i r="1">
      <x v="133"/>
      <x v="140"/>
    </i>
    <i r="1">
      <x v="139"/>
      <x v="612"/>
    </i>
    <i r="1">
      <x v="180"/>
      <x v="481"/>
    </i>
    <i>
      <x v="12"/>
      <x v="5"/>
      <x v="313"/>
    </i>
    <i r="1">
      <x v="7"/>
      <x v="360"/>
    </i>
    <i r="1">
      <x v="9"/>
      <x v="53"/>
    </i>
    <i r="1">
      <x v="10"/>
      <x v="50"/>
    </i>
    <i r="1">
      <x v="16"/>
      <x v="405"/>
    </i>
    <i r="1">
      <x v="19"/>
      <x v="494"/>
    </i>
    <i r="1">
      <x v="22"/>
      <x v="3"/>
    </i>
    <i r="1">
      <x v="23"/>
      <x v="263"/>
    </i>
    <i r="1">
      <x v="25"/>
      <x v="78"/>
    </i>
    <i r="1">
      <x v="26"/>
      <x v="112"/>
    </i>
    <i r="1">
      <x v="28"/>
      <x v="709"/>
    </i>
    <i r="1">
      <x v="31"/>
      <x v="199"/>
    </i>
    <i r="1">
      <x v="36"/>
      <x v="321"/>
    </i>
    <i r="1">
      <x v="39"/>
      <x v="619"/>
    </i>
    <i r="1">
      <x v="41"/>
      <x v="296"/>
    </i>
    <i r="1">
      <x v="44"/>
      <x v="547"/>
    </i>
    <i r="1">
      <x v="47"/>
      <x v="299"/>
    </i>
    <i r="1">
      <x v="48"/>
      <x v="381"/>
    </i>
    <i r="1">
      <x v="49"/>
      <x v="501"/>
    </i>
    <i r="1">
      <x v="54"/>
      <x v="432"/>
    </i>
    <i r="1">
      <x v="55"/>
      <x/>
    </i>
    <i r="1">
      <x v="57"/>
      <x v="412"/>
    </i>
    <i r="1">
      <x v="59"/>
      <x v="469"/>
    </i>
    <i r="1">
      <x v="60"/>
      <x v="563"/>
    </i>
    <i r="1">
      <x v="64"/>
      <x v="378"/>
    </i>
    <i r="1">
      <x v="70"/>
      <x v="634"/>
    </i>
    <i r="1">
      <x v="74"/>
      <x v="694"/>
    </i>
    <i r="1">
      <x v="75"/>
      <x v="256"/>
    </i>
    <i r="1">
      <x v="77"/>
      <x v="55"/>
    </i>
    <i r="1">
      <x v="78"/>
      <x v="560"/>
    </i>
    <i r="1">
      <x v="80"/>
      <x v="90"/>
    </i>
    <i r="1">
      <x v="82"/>
      <x v="306"/>
    </i>
    <i r="1">
      <x v="83"/>
      <x v="420"/>
    </i>
    <i r="1">
      <x v="84"/>
      <x v="54"/>
    </i>
    <i r="1">
      <x v="85"/>
      <x v="241"/>
    </i>
    <i r="1">
      <x v="91"/>
      <x v="147"/>
    </i>
    <i r="1">
      <x v="93"/>
      <x v="400"/>
    </i>
    <i r="1">
      <x v="96"/>
      <x v="455"/>
    </i>
    <i r="1">
      <x v="100"/>
      <x v="691"/>
    </i>
    <i r="1">
      <x v="101"/>
      <x v="488"/>
    </i>
    <i r="1">
      <x v="109"/>
      <x v="483"/>
    </i>
    <i r="1">
      <x v="118"/>
      <x v="208"/>
    </i>
    <i r="1">
      <x v="123"/>
      <x v="303"/>
    </i>
    <i r="1">
      <x v="125"/>
      <x v="11"/>
    </i>
    <i r="1">
      <x v="127"/>
      <x v="322"/>
    </i>
    <i r="1">
      <x v="132"/>
      <x v="327"/>
    </i>
    <i r="1">
      <x v="135"/>
      <x v="335"/>
    </i>
    <i r="1">
      <x v="140"/>
      <x v="253"/>
    </i>
    <i r="1">
      <x v="149"/>
      <x v="258"/>
    </i>
    <i r="1">
      <x v="150"/>
      <x v="685"/>
    </i>
    <i r="1">
      <x v="151"/>
      <x v="211"/>
    </i>
    <i r="1">
      <x v="161"/>
      <x v="115"/>
    </i>
    <i r="1">
      <x v="165"/>
      <x v="248"/>
    </i>
    <i r="2">
      <x v="655"/>
    </i>
    <i r="1">
      <x v="175"/>
      <x v="352"/>
    </i>
    <i r="1">
      <x v="182"/>
      <x v="478"/>
    </i>
    <i r="1">
      <x v="189"/>
      <x v="283"/>
    </i>
    <i r="1">
      <x v="191"/>
      <x v="528"/>
    </i>
    <i r="1">
      <x v="197"/>
      <x v="34"/>
    </i>
    <i r="1">
      <x v="199"/>
      <x v="178"/>
    </i>
    <i r="1">
      <x v="201"/>
      <x v="375"/>
    </i>
    <i r="1">
      <x v="202"/>
      <x v="218"/>
    </i>
    <i r="1">
      <x v="203"/>
      <x v="707"/>
    </i>
    <i r="1">
      <x v="204"/>
      <x v="94"/>
    </i>
    <i r="1">
      <x v="205"/>
      <x v="243"/>
    </i>
    <i r="1">
      <x v="206"/>
      <x v="461"/>
    </i>
    <i r="1">
      <x v="207"/>
      <x v="86"/>
    </i>
    <i r="1">
      <x v="211"/>
      <x v="562"/>
    </i>
    <i r="1">
      <x v="216"/>
      <x v="515"/>
    </i>
    <i r="1">
      <x v="219"/>
      <x v="366"/>
    </i>
    <i r="1">
      <x v="221"/>
      <x v="654"/>
    </i>
    <i r="1">
      <x v="223"/>
      <x v="506"/>
    </i>
    <i r="1">
      <x v="226"/>
      <x v="546"/>
    </i>
    <i r="1">
      <x v="228"/>
      <x v="524"/>
    </i>
    <i r="1">
      <x v="229"/>
      <x v="544"/>
    </i>
    <i r="1">
      <x v="230"/>
      <x v="290"/>
    </i>
    <i r="1">
      <x v="234"/>
      <x v="395"/>
    </i>
    <i r="1">
      <x v="235"/>
      <x v="446"/>
    </i>
    <i r="1">
      <x v="236"/>
      <x v="509"/>
    </i>
    <i r="1">
      <x v="238"/>
      <x v="251"/>
    </i>
    <i r="1">
      <x v="239"/>
      <x v="202"/>
    </i>
    <i r="1">
      <x v="240"/>
      <x v="426"/>
    </i>
    <i r="1">
      <x v="244"/>
      <x v="571"/>
    </i>
    <i>
      <x v="13"/>
      <x v="141"/>
      <x v="288"/>
    </i>
    <i r="1">
      <x v="175"/>
      <x v="700"/>
    </i>
    <i r="1">
      <x v="202"/>
      <x v="292"/>
    </i>
    <i r="1">
      <x v="205"/>
      <x v="326"/>
    </i>
    <i r="1">
      <x v="232"/>
      <x v="393"/>
    </i>
    <i r="1">
      <x v="239"/>
      <x v="398"/>
    </i>
    <i r="1">
      <x v="243"/>
      <x v="15"/>
    </i>
    <i>
      <x v="14"/>
      <x v="41"/>
      <x v="558"/>
    </i>
    <i>
      <x v="15"/>
      <x v="41"/>
      <x v="97"/>
    </i>
    <i r="1">
      <x v="50"/>
      <x v="652"/>
    </i>
    <i r="1">
      <x v="51"/>
      <x v="174"/>
    </i>
    <i r="1">
      <x v="70"/>
      <x v="656"/>
    </i>
    <i r="1">
      <x v="85"/>
      <x v="526"/>
    </i>
    <i r="1">
      <x v="88"/>
      <x v="555"/>
    </i>
    <i r="1">
      <x v="94"/>
      <x v="556"/>
    </i>
    <i r="1">
      <x v="100"/>
      <x v="345"/>
    </i>
    <i r="1">
      <x v="101"/>
      <x v="423"/>
    </i>
    <i r="1">
      <x v="103"/>
      <x v="399"/>
    </i>
    <i r="1">
      <x v="109"/>
      <x v="127"/>
    </i>
    <i r="1">
      <x v="114"/>
      <x v="379"/>
    </i>
    <i r="1">
      <x v="118"/>
      <x v="297"/>
    </i>
    <i r="1">
      <x v="125"/>
      <x v="29"/>
    </i>
    <i r="1">
      <x v="136"/>
      <x v="223"/>
    </i>
    <i r="1">
      <x v="141"/>
      <x v="411"/>
    </i>
    <i r="1">
      <x v="160"/>
      <x v="368"/>
    </i>
    <i r="1">
      <x v="199"/>
      <x v="701"/>
    </i>
    <i r="1">
      <x v="221"/>
      <x v="8"/>
    </i>
    <i r="1">
      <x v="240"/>
      <x v="324"/>
    </i>
    <i r="1">
      <x v="244"/>
      <x v="24"/>
    </i>
    <i>
      <x v="16"/>
      <x v="6"/>
      <x v="107"/>
    </i>
    <i r="1">
      <x v="17"/>
      <x v="58"/>
    </i>
    <i r="1">
      <x v="30"/>
      <x v="38"/>
    </i>
    <i r="1">
      <x v="58"/>
      <x v="647"/>
    </i>
    <i r="1">
      <x v="90"/>
      <x v="629"/>
    </i>
    <i r="1">
      <x v="162"/>
      <x v="433"/>
    </i>
    <i r="1">
      <x v="163"/>
      <x v="403"/>
    </i>
    <i r="1">
      <x v="175"/>
      <x v="414"/>
    </i>
    <i r="1">
      <x v="179"/>
      <x v="93"/>
    </i>
    <i r="1">
      <x v="181"/>
      <x v="675"/>
    </i>
    <i r="1">
      <x v="182"/>
      <x v="166"/>
    </i>
    <i r="1">
      <x v="183"/>
      <x v="145"/>
    </i>
    <i r="1">
      <x v="184"/>
      <x v="95"/>
    </i>
    <i r="1">
      <x v="189"/>
      <x v="475"/>
    </i>
    <i r="1">
      <x v="195"/>
      <x v="449"/>
    </i>
    <i r="1">
      <x v="224"/>
      <x v="530"/>
    </i>
    <i r="1">
      <x v="225"/>
      <x v="593"/>
    </i>
    <i r="1">
      <x v="229"/>
      <x v="332"/>
    </i>
    <i r="1">
      <x v="232"/>
      <x v="613"/>
    </i>
    <i r="1">
      <x v="235"/>
      <x v="5"/>
    </i>
    <i r="1">
      <x v="242"/>
      <x v="42"/>
    </i>
    <i>
      <x v="17"/>
      <x v="17"/>
      <x v="605"/>
    </i>
    <i r="1">
      <x v="20"/>
      <x v="679"/>
    </i>
    <i r="1">
      <x v="36"/>
      <x v="45"/>
    </i>
    <i r="1">
      <x v="48"/>
      <x v="621"/>
    </i>
    <i r="1">
      <x v="64"/>
      <x v="205"/>
    </i>
    <i r="1">
      <x v="68"/>
      <x v="315"/>
    </i>
    <i r="1">
      <x v="69"/>
      <x v="693"/>
    </i>
    <i r="1">
      <x v="82"/>
      <x v="150"/>
    </i>
    <i r="1">
      <x v="83"/>
      <x v="249"/>
    </i>
    <i r="1">
      <x v="89"/>
      <x v="671"/>
    </i>
    <i r="1">
      <x v="91"/>
      <x v="165"/>
    </i>
    <i r="1">
      <x v="92"/>
      <x v="52"/>
    </i>
    <i r="1">
      <x v="99"/>
      <x v="116"/>
    </i>
    <i r="1">
      <x v="122"/>
      <x v="4"/>
    </i>
    <i r="1">
      <x v="125"/>
      <x v="93"/>
    </i>
    <i r="1">
      <x v="140"/>
      <x v="235"/>
    </i>
    <i r="1">
      <x v="153"/>
      <x v="439"/>
    </i>
    <i r="1">
      <x v="161"/>
      <x v="104"/>
    </i>
    <i r="1">
      <x v="169"/>
      <x v="620"/>
    </i>
    <i r="1">
      <x v="175"/>
      <x v="371"/>
    </i>
    <i r="1">
      <x v="194"/>
      <x v="569"/>
    </i>
    <i r="1">
      <x v="225"/>
      <x v="344"/>
    </i>
    <i r="1">
      <x v="231"/>
      <x v="80"/>
    </i>
    <i>
      <x v="18"/>
      <x v="31"/>
      <x v="611"/>
    </i>
    <i r="1">
      <x v="49"/>
      <x v="137"/>
    </i>
    <i r="1">
      <x v="69"/>
      <x v="148"/>
    </i>
    <i r="1">
      <x v="72"/>
      <x v="50"/>
    </i>
    <i r="1">
      <x v="90"/>
      <x v="480"/>
    </i>
    <i r="1">
      <x v="109"/>
      <x v="128"/>
    </i>
    <i r="1">
      <x v="114"/>
      <x v="264"/>
    </i>
    <i r="1">
      <x v="166"/>
      <x v="682"/>
    </i>
    <i r="1">
      <x v="213"/>
      <x v="664"/>
    </i>
    <i>
      <x v="19"/>
      <x v="58"/>
      <x v="10"/>
    </i>
    <i r="1">
      <x v="104"/>
      <x v="107"/>
    </i>
    <i r="1">
      <x v="199"/>
      <x v="117"/>
    </i>
    <i>
      <x v="20"/>
      <x v="16"/>
      <x v="601"/>
    </i>
    <i r="1">
      <x v="24"/>
      <x v="186"/>
    </i>
    <i r="1">
      <x v="25"/>
      <x v="664"/>
    </i>
    <i r="1">
      <x v="30"/>
      <x v="149"/>
    </i>
    <i r="1">
      <x v="35"/>
      <x v="471"/>
    </i>
    <i r="1">
      <x v="42"/>
      <x v="635"/>
    </i>
    <i r="1">
      <x v="54"/>
      <x v="103"/>
    </i>
    <i r="1">
      <x v="58"/>
      <x v="191"/>
    </i>
    <i r="1">
      <x v="64"/>
      <x v="499"/>
    </i>
    <i r="1">
      <x v="69"/>
      <x v="565"/>
    </i>
    <i r="1">
      <x v="72"/>
      <x v="646"/>
    </i>
    <i r="1">
      <x v="75"/>
      <x v="168"/>
    </i>
    <i r="1">
      <x v="82"/>
      <x v="10"/>
    </i>
    <i r="1">
      <x v="83"/>
      <x v="590"/>
    </i>
    <i r="1">
      <x v="95"/>
      <x v="181"/>
    </i>
    <i r="1">
      <x v="99"/>
      <x v="217"/>
    </i>
    <i r="1">
      <x v="102"/>
      <x v="396"/>
    </i>
    <i r="1">
      <x v="103"/>
      <x v="308"/>
    </i>
    <i r="1">
      <x v="113"/>
      <x v="267"/>
    </i>
    <i r="1">
      <x v="118"/>
      <x v="47"/>
    </i>
    <i r="1">
      <x v="120"/>
      <x v="59"/>
    </i>
    <i r="1">
      <x v="125"/>
      <x v="83"/>
    </i>
    <i r="1">
      <x v="129"/>
      <x v="407"/>
    </i>
    <i r="1">
      <x v="133"/>
      <x v="239"/>
    </i>
    <i r="1">
      <x v="135"/>
      <x v="68"/>
    </i>
    <i r="1">
      <x v="137"/>
      <x v="50"/>
    </i>
    <i r="1">
      <x v="139"/>
      <x v="363"/>
    </i>
    <i r="1">
      <x v="140"/>
      <x v="244"/>
    </i>
    <i r="1">
      <x v="141"/>
      <x v="553"/>
    </i>
    <i r="1">
      <x v="146"/>
      <x v="445"/>
    </i>
    <i r="1">
      <x v="147"/>
      <x v="164"/>
    </i>
    <i r="1">
      <x v="148"/>
      <x v="56"/>
    </i>
    <i r="1">
      <x v="153"/>
      <x v="314"/>
    </i>
    <i r="1">
      <x v="162"/>
      <x v="310"/>
    </i>
    <i r="1">
      <x v="168"/>
      <x v="672"/>
    </i>
    <i r="1">
      <x v="169"/>
      <x v="460"/>
    </i>
    <i r="1">
      <x v="175"/>
      <x v="710"/>
    </i>
    <i r="1">
      <x v="176"/>
      <x v="351"/>
    </i>
    <i r="1">
      <x v="184"/>
      <x v="331"/>
    </i>
    <i r="1">
      <x v="188"/>
      <x v="428"/>
    </i>
    <i r="1">
      <x v="189"/>
      <x v="320"/>
    </i>
    <i r="1">
      <x v="190"/>
      <x v="372"/>
    </i>
    <i r="1">
      <x v="191"/>
      <x v="479"/>
    </i>
    <i r="1">
      <x v="192"/>
      <x v="348"/>
    </i>
    <i r="1">
      <x v="193"/>
      <x v="493"/>
    </i>
    <i r="1">
      <x v="196"/>
      <x v="484"/>
    </i>
    <i r="1">
      <x v="200"/>
      <x v="429"/>
    </i>
    <i r="1">
      <x v="208"/>
      <x v="200"/>
    </i>
    <i r="1">
      <x v="211"/>
      <x v="688"/>
    </i>
    <i r="1">
      <x v="212"/>
      <x v="489"/>
    </i>
    <i r="1">
      <x v="215"/>
      <x v="189"/>
    </i>
    <i r="1">
      <x v="216"/>
      <x v="305"/>
    </i>
    <i r="1">
      <x v="219"/>
      <x v="230"/>
    </i>
    <i r="1">
      <x v="223"/>
      <x v="418"/>
    </i>
    <i r="1">
      <x v="226"/>
      <x v="458"/>
    </i>
    <i r="1">
      <x v="227"/>
      <x v="339"/>
    </i>
    <i r="1">
      <x v="228"/>
      <x v="119"/>
    </i>
    <i r="1">
      <x v="229"/>
      <x v="658"/>
    </i>
    <i r="1">
      <x v="230"/>
      <x v="557"/>
    </i>
    <i r="1">
      <x v="231"/>
      <x v="585"/>
    </i>
    <i r="1">
      <x v="233"/>
      <x v="473"/>
    </i>
    <i r="1">
      <x v="236"/>
      <x v="614"/>
    </i>
    <i r="1">
      <x v="239"/>
      <x v="468"/>
    </i>
    <i r="1">
      <x v="240"/>
      <x v="435"/>
    </i>
    <i r="1">
      <x v="243"/>
      <x v="452"/>
    </i>
    <i r="1">
      <x v="244"/>
      <x v="542"/>
    </i>
    <i>
      <x v="21"/>
      <x v="96"/>
      <x v="269"/>
    </i>
    <i r="1">
      <x v="237"/>
      <x v="229"/>
    </i>
    <i>
      <x v="22"/>
      <x v="102"/>
      <x v="93"/>
    </i>
    <i r="1">
      <x v="103"/>
      <x v="72"/>
    </i>
    <i>
      <x v="23"/>
      <x v="10"/>
      <x v="10"/>
    </i>
    <i r="1">
      <x v="16"/>
      <x v="604"/>
    </i>
    <i r="1">
      <x v="36"/>
      <x v="668"/>
    </i>
    <i r="1">
      <x v="41"/>
      <x v="481"/>
    </i>
    <i r="1">
      <x v="54"/>
      <x v="567"/>
    </i>
    <i r="1">
      <x v="76"/>
      <x v="46"/>
    </i>
    <i r="1">
      <x v="82"/>
      <x v="289"/>
    </i>
    <i r="1">
      <x v="90"/>
      <x v="133"/>
    </i>
    <i r="1">
      <x v="117"/>
      <x v="662"/>
    </i>
    <i r="1">
      <x v="120"/>
      <x v="683"/>
    </i>
    <i r="1">
      <x v="121"/>
      <x v="453"/>
    </i>
    <i r="1">
      <x v="141"/>
      <x v="271"/>
    </i>
    <i r="1">
      <x v="154"/>
      <x v="713"/>
    </i>
    <i r="1">
      <x v="158"/>
      <x v="465"/>
    </i>
    <i r="1">
      <x v="162"/>
      <x v="612"/>
    </i>
    <i r="1">
      <x v="164"/>
      <x v="220"/>
    </i>
    <i r="1">
      <x v="165"/>
      <x v="40"/>
    </i>
    <i r="1">
      <x v="166"/>
      <x v="113"/>
    </i>
    <i r="1">
      <x v="167"/>
      <x v="669"/>
    </i>
    <i r="1">
      <x v="177"/>
      <x v="266"/>
    </i>
    <i r="1">
      <x v="179"/>
      <x v="257"/>
    </i>
    <i r="1">
      <x v="188"/>
      <x v="50"/>
    </i>
    <i r="1">
      <x v="206"/>
      <x v="144"/>
    </i>
    <i r="1">
      <x v="209"/>
      <x v="497"/>
    </i>
    <i r="1">
      <x v="216"/>
      <x v="627"/>
    </i>
    <i r="1">
      <x v="225"/>
      <x v="533"/>
    </i>
    <i r="1">
      <x v="230"/>
      <x v="380"/>
    </i>
    <i r="1">
      <x v="236"/>
      <x v="329"/>
    </i>
    <i>
      <x v="24"/>
      <x v="6"/>
      <x v="706"/>
    </i>
    <i r="1">
      <x v="10"/>
      <x v="195"/>
    </i>
    <i r="1">
      <x v="11"/>
      <x v="31"/>
    </i>
    <i r="1">
      <x v="16"/>
      <x v="600"/>
    </i>
    <i r="1">
      <x v="17"/>
      <x v="606"/>
    </i>
    <i r="1">
      <x v="23"/>
      <x v="50"/>
    </i>
    <i r="1">
      <x v="26"/>
      <x v="156"/>
    </i>
    <i r="1">
      <x v="31"/>
      <x v="361"/>
    </i>
    <i r="1">
      <x v="39"/>
      <x v="176"/>
    </i>
    <i r="1">
      <x v="40"/>
      <x v="467"/>
    </i>
    <i r="1">
      <x v="48"/>
      <x v="137"/>
    </i>
    <i r="1">
      <x v="49"/>
      <x v="611"/>
    </i>
    <i r="1">
      <x v="54"/>
      <x v="67"/>
    </i>
    <i r="1">
      <x v="64"/>
      <x v="142"/>
    </i>
    <i r="1">
      <x v="69"/>
      <x v="149"/>
    </i>
    <i r="1">
      <x v="70"/>
      <x v="538"/>
    </i>
    <i r="1">
      <x v="75"/>
      <x v="300"/>
    </i>
    <i r="1">
      <x v="85"/>
      <x v="649"/>
    </i>
    <i r="1">
      <x v="90"/>
      <x v="480"/>
    </i>
    <i r="1">
      <x v="97"/>
      <x v="273"/>
    </i>
    <i r="1">
      <x v="98"/>
      <x v="568"/>
    </i>
    <i r="1">
      <x v="102"/>
      <x v="541"/>
    </i>
    <i r="1">
      <x v="103"/>
      <x v="124"/>
    </i>
    <i r="1">
      <x v="108"/>
      <x v="240"/>
    </i>
    <i r="1">
      <x v="113"/>
      <x v="539"/>
    </i>
    <i r="1">
      <x v="117"/>
      <x v="109"/>
    </i>
    <i r="1">
      <x v="125"/>
      <x v="570"/>
    </i>
    <i r="1">
      <x v="136"/>
      <x v="431"/>
    </i>
    <i r="1">
      <x v="153"/>
      <x v="365"/>
    </i>
    <i r="1">
      <x v="188"/>
      <x v="224"/>
    </i>
    <i r="1">
      <x v="213"/>
      <x v="245"/>
    </i>
    <i r="1">
      <x v="235"/>
      <x v="408"/>
    </i>
    <i r="1">
      <x v="240"/>
      <x v="259"/>
    </i>
    <i>
      <x v="25"/>
      <x v="34"/>
      <x v="592"/>
    </i>
    <i>
      <x v="26"/>
      <x v="1"/>
      <x v="690"/>
    </i>
    <i r="1">
      <x v="4"/>
      <x v="92"/>
    </i>
    <i r="1">
      <x v="10"/>
      <x v="96"/>
    </i>
    <i r="1">
      <x v="13"/>
      <x v="504"/>
    </i>
    <i r="1">
      <x v="17"/>
      <x v="490"/>
    </i>
    <i r="1">
      <x v="27"/>
      <x v="99"/>
    </i>
    <i r="1">
      <x v="28"/>
      <x v="7"/>
    </i>
    <i r="1">
      <x v="30"/>
      <x v="527"/>
    </i>
    <i r="1">
      <x v="35"/>
      <x v="486"/>
    </i>
    <i r="2">
      <x v="588"/>
    </i>
    <i r="1">
      <x v="36"/>
      <x v="198"/>
    </i>
    <i r="1">
      <x v="41"/>
      <x v="584"/>
    </i>
    <i r="1">
      <x v="42"/>
      <x v="153"/>
    </i>
    <i r="2">
      <x v="323"/>
    </i>
    <i r="1">
      <x v="44"/>
      <x v="385"/>
    </i>
    <i r="1">
      <x v="48"/>
      <x v="422"/>
    </i>
    <i r="1">
      <x v="54"/>
      <x v="74"/>
    </i>
    <i r="1">
      <x v="59"/>
      <x v="169"/>
    </i>
    <i r="1">
      <x v="62"/>
      <x v="681"/>
    </i>
    <i r="1">
      <x v="64"/>
      <x v="17"/>
    </i>
    <i r="1">
      <x v="65"/>
      <x v="667"/>
    </i>
    <i r="1">
      <x v="70"/>
      <x v="171"/>
    </i>
    <i r="1">
      <x v="74"/>
      <x v="197"/>
    </i>
    <i r="1">
      <x v="78"/>
      <x v="14"/>
    </i>
    <i r="1">
      <x v="84"/>
      <x v="88"/>
    </i>
    <i r="1">
      <x v="85"/>
      <x v="106"/>
    </i>
    <i r="1">
      <x v="90"/>
      <x v="338"/>
    </i>
    <i r="1">
      <x v="91"/>
      <x v="284"/>
    </i>
    <i r="1">
      <x v="93"/>
      <x v="9"/>
    </i>
    <i r="1">
      <x v="96"/>
      <x v="370"/>
    </i>
    <i r="1">
      <x v="102"/>
      <x v="595"/>
    </i>
    <i r="1">
      <x v="109"/>
      <x v="580"/>
    </i>
    <i r="1">
      <x v="113"/>
      <x v="362"/>
    </i>
    <i r="1">
      <x v="114"/>
      <x v="519"/>
    </i>
    <i r="1">
      <x v="117"/>
      <x v="662"/>
    </i>
    <i r="1">
      <x v="120"/>
      <x v="683"/>
    </i>
    <i r="1">
      <x v="121"/>
      <x v="454"/>
    </i>
    <i r="1">
      <x v="129"/>
      <x v="626"/>
    </i>
    <i r="1">
      <x v="132"/>
      <x v="170"/>
    </i>
    <i r="1">
      <x v="135"/>
      <x v="457"/>
    </i>
    <i r="1">
      <x v="140"/>
      <x v="564"/>
    </i>
    <i r="1">
      <x v="164"/>
      <x v="505"/>
    </i>
    <i r="1">
      <x v="165"/>
      <x v="410"/>
    </i>
    <i r="1">
      <x v="176"/>
      <x v="346"/>
    </i>
    <i r="1">
      <x v="197"/>
      <x v="64"/>
    </i>
    <i r="1">
      <x v="203"/>
      <x v="521"/>
    </i>
    <i r="1">
      <x v="212"/>
      <x v="687"/>
    </i>
    <i r="1">
      <x v="213"/>
      <x v="254"/>
    </i>
    <i r="1">
      <x v="226"/>
      <x v="513"/>
    </i>
    <i r="1">
      <x v="231"/>
      <x v="367"/>
    </i>
    <i r="1">
      <x v="236"/>
      <x v="333"/>
    </i>
    <i r="1">
      <x v="239"/>
      <x v="531"/>
    </i>
    <i r="1">
      <x v="244"/>
      <x v="636"/>
    </i>
    <i>
      <x v="27"/>
      <x v="59"/>
      <x v="665"/>
    </i>
    <i r="1">
      <x v="74"/>
      <x v="60"/>
    </i>
    <i r="1">
      <x v="77"/>
      <x v="221"/>
    </i>
    <i r="1">
      <x v="85"/>
      <x v="508"/>
    </i>
    <i r="1">
      <x v="99"/>
      <x v="186"/>
    </i>
    <i r="1">
      <x v="104"/>
      <x v="206"/>
    </i>
    <i r="1">
      <x v="108"/>
      <x v="234"/>
    </i>
    <i r="1">
      <x v="113"/>
      <x v="316"/>
    </i>
    <i r="1">
      <x v="125"/>
      <x v="340"/>
    </i>
    <i r="1">
      <x v="141"/>
      <x v="25"/>
    </i>
    <i r="1">
      <x v="145"/>
      <x v="699"/>
    </i>
    <i r="1">
      <x v="156"/>
      <x v="419"/>
    </i>
    <i r="1">
      <x v="161"/>
      <x v="589"/>
    </i>
    <i r="1">
      <x v="168"/>
      <x v="1"/>
    </i>
    <i r="1">
      <x v="175"/>
      <x v="232"/>
    </i>
    <i r="1">
      <x v="196"/>
      <x v="129"/>
    </i>
    <i r="1">
      <x v="202"/>
      <x v="608"/>
    </i>
    <i r="1">
      <x v="205"/>
      <x v="386"/>
    </i>
    <i r="1">
      <x v="213"/>
      <x v="474"/>
    </i>
    <i r="1">
      <x v="226"/>
      <x v="63"/>
    </i>
    <i r="1">
      <x v="233"/>
      <x v="307"/>
    </i>
    <i>
      <x v="28"/>
      <x v="91"/>
      <x v="174"/>
    </i>
    <i r="1">
      <x v="161"/>
      <x v="677"/>
    </i>
    <i>
      <x v="29"/>
      <x v="155"/>
      <x v="213"/>
    </i>
    <i r="1">
      <x v="162"/>
      <x v="131"/>
    </i>
    <i r="1">
      <x v="188"/>
      <x v="10"/>
    </i>
    <i r="1">
      <x v="193"/>
      <x v="391"/>
    </i>
    <i r="1">
      <x v="196"/>
      <x v="287"/>
    </i>
    <i r="1">
      <x v="215"/>
      <x v="126"/>
    </i>
    <i r="1">
      <x v="239"/>
      <x v="630"/>
    </i>
    <i>
      <x v="30"/>
      <x v="17"/>
      <x v="107"/>
    </i>
    <i r="1">
      <x v="61"/>
      <x v="630"/>
    </i>
    <i r="1">
      <x v="65"/>
      <x v="663"/>
    </i>
    <i>
      <x v="31"/>
      <x v="85"/>
      <x v="57"/>
    </i>
    <i>
      <x v="32"/>
      <x v="42"/>
      <x v="637"/>
    </i>
    <i r="1">
      <x v="49"/>
      <x v="325"/>
    </i>
    <i r="1">
      <x v="97"/>
      <x v="520"/>
    </i>
    <i r="1">
      <x v="118"/>
      <x v="456"/>
    </i>
    <i r="1">
      <x v="132"/>
      <x v="170"/>
    </i>
    <i r="1">
      <x v="134"/>
      <x v="512"/>
    </i>
    <i r="1">
      <x v="158"/>
      <x v="28"/>
    </i>
    <i r="1">
      <x v="179"/>
      <x v="196"/>
    </i>
    <i r="1">
      <x v="195"/>
      <x v="73"/>
    </i>
    <i r="1">
      <x v="196"/>
      <x v="548"/>
    </i>
    <i r="1">
      <x v="200"/>
      <x v="702"/>
    </i>
    <i r="1">
      <x v="211"/>
      <x v="633"/>
    </i>
    <i>
      <x v="33"/>
      <x v="6"/>
      <x v="162"/>
    </i>
    <i r="1">
      <x v="35"/>
      <x v="673"/>
    </i>
    <i r="1">
      <x v="49"/>
      <x v="97"/>
    </i>
    <i r="1">
      <x v="54"/>
      <x v="638"/>
    </i>
    <i r="1">
      <x v="67"/>
      <x v="594"/>
    </i>
    <i>
      <x v="34"/>
      <x v="39"/>
      <x v="353"/>
    </i>
    <i r="1">
      <x v="66"/>
      <x v="507"/>
    </i>
    <i r="1">
      <x v="71"/>
      <x v="343"/>
    </i>
    <i r="1">
      <x v="89"/>
      <x v="640"/>
    </i>
    <i r="1">
      <x v="109"/>
      <x v="639"/>
    </i>
    <i r="1">
      <x v="115"/>
      <x v="572"/>
    </i>
    <i r="1">
      <x v="132"/>
      <x v="188"/>
    </i>
    <i r="1">
      <x v="142"/>
      <x v="518"/>
    </i>
    <i r="1">
      <x v="148"/>
      <x v="84"/>
    </i>
    <i r="1">
      <x v="171"/>
      <x v="397"/>
    </i>
    <i r="1">
      <x v="182"/>
      <x v="437"/>
    </i>
    <i r="1">
      <x v="185"/>
      <x v="270"/>
    </i>
    <i r="1">
      <x v="187"/>
      <x v="71"/>
    </i>
    <i r="1">
      <x v="188"/>
      <x v="81"/>
    </i>
    <i r="1">
      <x v="196"/>
      <x v="695"/>
    </i>
    <i r="1">
      <x v="207"/>
      <x v="294"/>
    </i>
    <i r="1">
      <x v="211"/>
      <x v="616"/>
    </i>
    <i r="1">
      <x v="217"/>
      <x v="451"/>
    </i>
    <i r="1">
      <x v="222"/>
      <x v="578"/>
    </i>
    <i r="1">
      <x v="228"/>
      <x v="659"/>
    </i>
    <i r="1">
      <x v="238"/>
      <x v="503"/>
    </i>
    <i>
      <x v="35"/>
      <x v="32"/>
      <x v="568"/>
    </i>
    <i r="1">
      <x v="33"/>
      <x v="50"/>
    </i>
    <i r="1">
      <x v="34"/>
      <x v="30"/>
    </i>
    <i r="1">
      <x v="37"/>
      <x v="573"/>
    </i>
    <i r="1">
      <x v="41"/>
      <x v="238"/>
    </i>
    <i r="1">
      <x v="49"/>
      <x v="2"/>
    </i>
    <i r="1">
      <x v="50"/>
      <x v="651"/>
    </i>
    <i r="1">
      <x v="53"/>
      <x v="714"/>
    </i>
    <i r="1">
      <x v="57"/>
      <x v="328"/>
    </i>
    <i r="1">
      <x v="59"/>
      <x v="538"/>
    </i>
    <i r="1">
      <x v="62"/>
      <x v="334"/>
    </i>
    <i r="1">
      <x v="69"/>
      <x v="566"/>
    </i>
    <i r="1">
      <x v="81"/>
      <x v="110"/>
    </i>
    <i r="1">
      <x v="82"/>
      <x v="12"/>
    </i>
    <i r="1">
      <x v="83"/>
      <x v="175"/>
    </i>
    <i r="1">
      <x v="85"/>
      <x v="678"/>
    </i>
    <i r="1">
      <x v="86"/>
      <x v="163"/>
    </i>
    <i r="1">
      <x v="88"/>
      <x v="62"/>
    </i>
    <i r="1">
      <x v="105"/>
      <x v="121"/>
    </i>
    <i r="1">
      <x v="106"/>
      <x v="517"/>
    </i>
    <i r="1">
      <x v="107"/>
      <x v="43"/>
    </i>
    <i r="1">
      <x v="108"/>
      <x v="143"/>
    </i>
    <i r="1">
      <x v="109"/>
      <x v="183"/>
    </i>
    <i r="1">
      <x v="110"/>
      <x v="476"/>
    </i>
    <i r="1">
      <x v="111"/>
      <x v="65"/>
    </i>
    <i r="1">
      <x v="116"/>
      <x v="280"/>
    </i>
    <i r="1">
      <x v="141"/>
      <x v="387"/>
    </i>
    <i r="1">
      <x v="144"/>
      <x v="51"/>
    </i>
    <i r="1">
      <x v="147"/>
      <x v="317"/>
    </i>
    <i r="1">
      <x v="159"/>
      <x v="160"/>
    </i>
    <i r="1">
      <x v="166"/>
      <x v="425"/>
    </i>
    <i r="1">
      <x v="173"/>
      <x v="648"/>
    </i>
    <i r="1">
      <x v="175"/>
      <x v="354"/>
    </i>
    <i r="1">
      <x v="180"/>
      <x v="502"/>
    </i>
    <i r="1">
      <x v="193"/>
      <x v="134"/>
    </i>
    <i r="1">
      <x v="198"/>
      <x v="696"/>
    </i>
    <i r="1">
      <x v="200"/>
      <x v="625"/>
    </i>
    <i r="1">
      <x v="207"/>
      <x v="157"/>
    </i>
    <i r="1">
      <x v="208"/>
      <x v="489"/>
    </i>
    <i r="1">
      <x v="210"/>
      <x v="550"/>
    </i>
    <i r="1">
      <x v="211"/>
      <x v="500"/>
    </i>
    <i r="1">
      <x v="214"/>
      <x v="242"/>
    </i>
    <i r="1">
      <x v="217"/>
      <x v="643"/>
    </i>
    <i r="1">
      <x v="222"/>
      <x v="295"/>
    </i>
    <i r="1">
      <x v="228"/>
      <x v="421"/>
    </i>
    <i r="1">
      <x v="229"/>
      <x v="281"/>
    </i>
    <i r="1">
      <x v="234"/>
      <x v="388"/>
    </i>
    <i r="1">
      <x v="237"/>
      <x v="540"/>
    </i>
    <i r="1">
      <x v="241"/>
      <x v="581"/>
    </i>
    <i>
      <x v="36"/>
      <x v="65"/>
      <x v="201"/>
    </i>
    <i>
      <x v="37"/>
      <x v="3"/>
      <x v="343"/>
    </i>
    <i r="1">
      <x v="9"/>
      <x v="598"/>
    </i>
    <i r="1">
      <x v="18"/>
      <x v="650"/>
    </i>
    <i r="1">
      <x v="43"/>
      <x v="32"/>
    </i>
    <i r="1">
      <x v="51"/>
      <x v="579"/>
    </i>
    <i r="1">
      <x v="186"/>
      <x v="364"/>
    </i>
    <i r="1">
      <x v="187"/>
      <x v="532"/>
    </i>
    <i r="1">
      <x v="205"/>
      <x v="194"/>
    </i>
    <i>
      <x v="38"/>
      <x v="108"/>
      <x v="212"/>
    </i>
    <i>
      <x v="39"/>
      <x v="58"/>
      <x v="447"/>
    </i>
    <i r="1">
      <x v="65"/>
      <x v="357"/>
    </i>
    <i r="1">
      <x v="70"/>
      <x v="184"/>
    </i>
    <i r="1">
      <x v="74"/>
      <x v="33"/>
    </i>
    <i r="1">
      <x v="82"/>
      <x v="610"/>
    </i>
    <i r="1">
      <x v="83"/>
      <x v="708"/>
    </i>
    <i r="1">
      <x v="85"/>
      <x v="236"/>
    </i>
    <i r="1">
      <x v="93"/>
      <x v="228"/>
    </i>
    <i r="1">
      <x v="117"/>
      <x v="661"/>
    </i>
    <i r="1">
      <x v="120"/>
      <x v="684"/>
    </i>
    <i r="1">
      <x v="121"/>
      <x v="453"/>
    </i>
    <i>
      <x v="40"/>
      <x v="48"/>
      <x v="583"/>
    </i>
    <i r="1">
      <x v="49"/>
      <x v="146"/>
    </i>
    <i r="2">
      <x v="559"/>
    </i>
    <i r="1">
      <x v="53"/>
      <x v="291"/>
    </i>
    <i r="1">
      <x v="58"/>
      <x v="537"/>
    </i>
    <i r="1">
      <x v="59"/>
      <x v="10"/>
    </i>
    <i r="1">
      <x v="63"/>
      <x v="712"/>
    </i>
    <i r="1">
      <x v="65"/>
      <x v="653"/>
    </i>
    <i r="1">
      <x v="68"/>
      <x v="101"/>
    </i>
    <i r="1">
      <x v="75"/>
      <x v="273"/>
    </i>
    <i r="1">
      <x v="77"/>
      <x v="576"/>
    </i>
    <i r="1">
      <x v="85"/>
      <x v="390"/>
    </i>
    <i r="1">
      <x v="90"/>
      <x v="666"/>
    </i>
    <i r="1">
      <x v="97"/>
      <x v="227"/>
    </i>
    <i r="1">
      <x v="125"/>
      <x v="549"/>
    </i>
    <i r="1">
      <x v="132"/>
      <x v="529"/>
    </i>
    <i r="1">
      <x v="157"/>
      <x v="642"/>
    </i>
    <i r="1">
      <x v="166"/>
      <x v="215"/>
    </i>
    <i r="1">
      <x v="167"/>
      <x v="246"/>
    </i>
    <i r="1">
      <x v="169"/>
      <x v="442"/>
    </i>
    <i>
      <x v="41"/>
      <x v="69"/>
      <x v="149"/>
    </i>
    <i r="1">
      <x v="70"/>
      <x v="714"/>
    </i>
    <i r="1">
      <x v="188"/>
      <x v="428"/>
    </i>
    <i>
      <x v="42"/>
      <x v="35"/>
      <x v="148"/>
    </i>
    <i r="1">
      <x v="39"/>
      <x v="200"/>
    </i>
    <i r="1">
      <x v="42"/>
      <x v="590"/>
    </i>
    <i r="1">
      <x v="49"/>
      <x v="36"/>
    </i>
    <i r="1">
      <x v="54"/>
      <x v="82"/>
    </i>
    <i r="1">
      <x v="59"/>
      <x v="138"/>
    </i>
    <i r="1">
      <x v="64"/>
      <x v="231"/>
    </i>
    <i r="1">
      <x v="65"/>
      <x v="645"/>
    </i>
    <i r="1">
      <x v="99"/>
      <x v="61"/>
    </i>
    <i r="1">
      <x v="107"/>
      <x v="298"/>
    </i>
    <i r="1">
      <x v="108"/>
      <x v="347"/>
    </i>
    <i r="1">
      <x v="109"/>
      <x v="155"/>
    </i>
    <i r="1">
      <x v="114"/>
      <x v="187"/>
    </i>
    <i r="1">
      <x v="118"/>
      <x v="219"/>
    </i>
    <i r="1">
      <x v="125"/>
      <x v="118"/>
    </i>
    <i r="1">
      <x v="129"/>
      <x v="172"/>
    </i>
    <i r="1">
      <x v="133"/>
      <x v="416"/>
    </i>
    <i r="1">
      <x v="135"/>
      <x v="680"/>
    </i>
    <i r="1">
      <x v="138"/>
      <x v="47"/>
    </i>
    <i r="1">
      <x v="139"/>
      <x v="87"/>
    </i>
    <i r="1">
      <x v="141"/>
      <x v="312"/>
    </i>
    <i r="1">
      <x v="143"/>
      <x v="631"/>
    </i>
    <i r="1">
      <x v="151"/>
      <x v="318"/>
    </i>
    <i r="1">
      <x v="152"/>
      <x v="394"/>
    </i>
    <i r="1">
      <x v="153"/>
      <x v="311"/>
    </i>
    <i r="1">
      <x v="154"/>
      <x v="472"/>
    </i>
    <i r="1">
      <x v="162"/>
      <x v="514"/>
    </i>
    <i r="1">
      <x v="163"/>
      <x v="485"/>
    </i>
    <i r="1">
      <x v="164"/>
      <x v="525"/>
    </i>
    <i r="1">
      <x v="166"/>
      <x v="510"/>
    </i>
    <i r="1">
      <x v="169"/>
      <x v="582"/>
    </i>
    <i r="1">
      <x v="174"/>
      <x v="190"/>
    </i>
    <i r="1">
      <x v="175"/>
      <x v="350"/>
    </i>
    <i r="1">
      <x v="186"/>
      <x v="561"/>
    </i>
    <i r="1">
      <x v="188"/>
      <x v="49"/>
    </i>
    <i r="1">
      <x v="196"/>
      <x v="180"/>
    </i>
    <i r="1">
      <x v="200"/>
      <x v="430"/>
    </i>
    <i r="1">
      <x v="214"/>
      <x v="237"/>
    </i>
    <i r="1">
      <x v="216"/>
      <x v="282"/>
    </i>
    <i r="1">
      <x v="229"/>
      <x v="444"/>
    </i>
    <i>
      <x v="43"/>
      <x v="4"/>
      <x v="591"/>
    </i>
    <i r="1">
      <x v="5"/>
      <x v="141"/>
    </i>
    <i r="1">
      <x v="59"/>
      <x v="102"/>
    </i>
    <i r="1">
      <x v="61"/>
      <x v="469"/>
    </i>
    <i r="1">
      <x v="64"/>
      <x v="383"/>
    </i>
    <i r="1">
      <x v="85"/>
      <x v="470"/>
    </i>
    <i r="1">
      <x v="231"/>
      <x v="464"/>
    </i>
    <i r="1">
      <x v="236"/>
      <x v="409"/>
    </i>
    <i>
      <x v="44"/>
      <x v="9"/>
      <x v="44"/>
    </i>
    <i r="1">
      <x v="16"/>
      <x v="492"/>
    </i>
    <i r="1">
      <x v="23"/>
      <x v="23"/>
    </i>
    <i r="1">
      <x v="31"/>
      <x v="389"/>
    </i>
    <i r="1">
      <x v="36"/>
      <x v="319"/>
    </i>
    <i r="1">
      <x v="41"/>
      <x v="296"/>
    </i>
    <i r="1">
      <x v="64"/>
      <x v="378"/>
    </i>
    <i r="1">
      <x v="74"/>
      <x v="359"/>
    </i>
    <i r="1">
      <x v="93"/>
      <x v="21"/>
    </i>
    <i r="1">
      <x v="95"/>
      <x v="703"/>
    </i>
    <i r="1">
      <x v="96"/>
      <x v="455"/>
    </i>
    <i r="1">
      <x v="99"/>
      <x v="20"/>
    </i>
    <i r="1">
      <x v="128"/>
      <x v="337"/>
    </i>
    <i r="1">
      <x v="130"/>
      <x v="596"/>
    </i>
    <i r="1">
      <x v="161"/>
      <x v="644"/>
    </i>
    <i r="1">
      <x v="175"/>
      <x v="352"/>
    </i>
    <i r="1">
      <x v="209"/>
      <x v="358"/>
    </i>
    <i r="1">
      <x v="211"/>
      <x v="562"/>
    </i>
    <i r="1">
      <x v="220"/>
      <x v="136"/>
    </i>
    <i r="1">
      <x v="221"/>
      <x v="654"/>
    </i>
    <i r="1">
      <x v="226"/>
      <x v="546"/>
    </i>
    <i r="1">
      <x v="240"/>
      <x v="6"/>
    </i>
    <i>
      <x v="45"/>
      <x v="54"/>
      <x v="301"/>
    </i>
    <i r="1">
      <x v="74"/>
      <x v="10"/>
    </i>
    <i r="1">
      <x v="99"/>
      <x v="124"/>
    </i>
    <i r="1">
      <x v="161"/>
      <x v="481"/>
    </i>
    <i r="1">
      <x v="168"/>
      <x v="498"/>
    </i>
    <i r="1">
      <x v="214"/>
      <x v="50"/>
    </i>
    <i r="1">
      <x v="220"/>
      <x v="355"/>
    </i>
    <i>
      <x v="46"/>
      <x/>
      <x v="6"/>
    </i>
    <i r="1">
      <x v="16"/>
      <x v="492"/>
    </i>
    <i r="1">
      <x v="24"/>
      <x v="22"/>
    </i>
    <i r="1">
      <x v="25"/>
      <x v="78"/>
    </i>
    <i r="1">
      <x v="41"/>
      <x v="296"/>
    </i>
    <i r="1">
      <x v="45"/>
      <x v="209"/>
    </i>
    <i r="1">
      <x v="56"/>
      <x v="496"/>
    </i>
    <i r="1">
      <x v="74"/>
      <x v="359"/>
    </i>
    <i r="1">
      <x v="78"/>
      <x v="135"/>
    </i>
    <i r="1">
      <x v="79"/>
      <x v="609"/>
    </i>
    <i r="1">
      <x v="90"/>
      <x v="27"/>
    </i>
    <i r="1">
      <x v="95"/>
      <x v="703"/>
    </i>
    <i r="1">
      <x v="96"/>
      <x v="455"/>
    </i>
    <i r="1">
      <x v="99"/>
      <x v="20"/>
    </i>
    <i r="1">
      <x v="128"/>
      <x v="337"/>
    </i>
    <i r="1">
      <x v="130"/>
      <x v="596"/>
    </i>
    <i r="1">
      <x v="150"/>
      <x v="495"/>
    </i>
    <i r="1">
      <x v="175"/>
      <x v="352"/>
    </i>
    <i r="1">
      <x v="176"/>
      <x v="336"/>
    </i>
    <i r="1">
      <x v="189"/>
      <x v="262"/>
    </i>
    <i r="1">
      <x v="191"/>
      <x v="349"/>
    </i>
    <i r="1">
      <x v="209"/>
      <x v="35"/>
    </i>
    <i r="1">
      <x v="220"/>
      <x v="136"/>
    </i>
    <i r="1">
      <x v="226"/>
      <x v="546"/>
    </i>
    <i>
      <x v="47"/>
      <x v="82"/>
      <x v="293"/>
    </i>
    <i r="1">
      <x v="84"/>
      <x v="105"/>
    </i>
    <i r="1">
      <x v="87"/>
      <x v="152"/>
    </i>
    <i r="1">
      <x v="97"/>
      <x v="265"/>
    </i>
    <i r="1">
      <x v="101"/>
      <x v="111"/>
    </i>
    <i r="1">
      <x v="102"/>
      <x v="369"/>
    </i>
    <i r="1">
      <x v="109"/>
      <x v="278"/>
    </i>
    <i r="1">
      <x v="125"/>
      <x v="309"/>
    </i>
    <i>
      <x v="48"/>
      <x v="139"/>
      <x v="173"/>
    </i>
    <i r="1">
      <x v="147"/>
      <x v="226"/>
    </i>
    <i r="1">
      <x v="161"/>
      <x v="677"/>
    </i>
    <i>
      <x v="49"/>
      <x v="2"/>
      <x v="617"/>
    </i>
    <i r="1">
      <x v="22"/>
      <x v="586"/>
    </i>
    <i r="1">
      <x v="37"/>
      <x v="98"/>
    </i>
    <i r="1">
      <x v="38"/>
      <x v="89"/>
    </i>
    <i r="1">
      <x v="41"/>
      <x v="487"/>
    </i>
    <i r="2">
      <x v="674"/>
    </i>
    <i r="1">
      <x v="45"/>
      <x v="401"/>
    </i>
    <i r="1">
      <x v="46"/>
      <x v="554"/>
    </i>
    <i>
      <x v="50"/>
      <x v="6"/>
      <x v="107"/>
    </i>
    <i r="1">
      <x v="8"/>
      <x v="607"/>
    </i>
    <i r="1">
      <x v="12"/>
      <x v="536"/>
    </i>
    <i r="1">
      <x v="14"/>
      <x v="660"/>
    </i>
    <i r="1">
      <x v="15"/>
      <x v="603"/>
    </i>
    <i r="1">
      <x v="17"/>
      <x v="70"/>
    </i>
    <i r="1">
      <x v="19"/>
      <x v="522"/>
    </i>
    <i r="1">
      <x v="21"/>
      <x v="705"/>
    </i>
    <i r="1">
      <x v="22"/>
      <x v="79"/>
    </i>
    <i r="1">
      <x v="28"/>
      <x v="545"/>
    </i>
    <i r="1">
      <x v="30"/>
      <x v="286"/>
    </i>
    <i r="1">
      <x v="33"/>
      <x v="185"/>
    </i>
    <i r="1">
      <x v="35"/>
      <x v="85"/>
    </i>
    <i r="1">
      <x v="42"/>
      <x v="373"/>
    </i>
    <i r="1">
      <x v="46"/>
      <x v="692"/>
    </i>
    <i r="1">
      <x v="48"/>
      <x v="125"/>
    </i>
    <i r="1">
      <x v="52"/>
      <x v="161"/>
    </i>
    <i r="1">
      <x v="54"/>
      <x v="615"/>
    </i>
    <i r="1">
      <x v="58"/>
      <x v="647"/>
    </i>
    <i r="1">
      <x v="59"/>
      <x v="415"/>
    </i>
    <i r="1">
      <x v="64"/>
      <x v="462"/>
    </i>
    <i r="1">
      <x v="69"/>
      <x v="123"/>
    </i>
    <i r="1">
      <x v="70"/>
      <x v="697"/>
    </i>
    <i r="1">
      <x v="75"/>
      <x v="392"/>
    </i>
    <i r="1">
      <x v="84"/>
      <x v="377"/>
    </i>
    <i r="1">
      <x v="91"/>
      <x v="77"/>
    </i>
    <i r="1">
      <x v="93"/>
      <x v="100"/>
    </i>
    <i r="1">
      <x v="96"/>
      <x v="404"/>
    </i>
    <i r="1">
      <x v="117"/>
      <x v="225"/>
    </i>
    <i r="1">
      <x v="119"/>
      <x v="341"/>
    </i>
    <i r="1">
      <x v="132"/>
      <x v="450"/>
    </i>
    <i r="1">
      <x v="133"/>
      <x v="274"/>
    </i>
    <i r="1">
      <x v="140"/>
      <x v="551"/>
    </i>
    <i r="1">
      <x v="152"/>
      <x v="441"/>
    </i>
    <i r="1">
      <x v="153"/>
      <x v="130"/>
    </i>
    <i r="1">
      <x v="158"/>
      <x v="193"/>
    </i>
    <i r="1">
      <x v="162"/>
      <x v="534"/>
    </i>
    <i r="1">
      <x v="165"/>
      <x v="120"/>
    </i>
    <i r="1">
      <x v="175"/>
      <x v="247"/>
    </i>
    <i r="1">
      <x v="187"/>
      <x v="434"/>
    </i>
    <i r="1">
      <x v="189"/>
      <x v="250"/>
    </i>
    <i r="2">
      <x v="279"/>
    </i>
    <i r="1">
      <x v="190"/>
      <x v="203"/>
    </i>
    <i r="1">
      <x v="200"/>
      <x v="179"/>
    </i>
    <i r="1">
      <x v="206"/>
      <x v="276"/>
    </i>
    <i r="1">
      <x v="207"/>
      <x v="26"/>
    </i>
    <i r="1">
      <x v="212"/>
      <x v="704"/>
    </i>
    <i r="1">
      <x v="215"/>
      <x v="272"/>
    </i>
    <i r="1">
      <x v="218"/>
      <x v="255"/>
    </i>
    <i r="1">
      <x v="219"/>
      <x v="417"/>
    </i>
    <i r="1">
      <x v="220"/>
      <x v="356"/>
    </i>
    <i r="1">
      <x v="221"/>
      <x v="252"/>
    </i>
    <i r="1">
      <x v="225"/>
      <x v="139"/>
    </i>
    <i r="1">
      <x v="226"/>
      <x v="511"/>
    </i>
    <i r="1">
      <x v="229"/>
      <x v="543"/>
    </i>
    <i r="1">
      <x v="230"/>
      <x v="207"/>
    </i>
    <i r="1">
      <x v="235"/>
      <x v="482"/>
    </i>
    <i r="1">
      <x v="236"/>
      <x v="260"/>
    </i>
    <i r="1">
      <x v="239"/>
      <x v="210"/>
    </i>
    <i r="1">
      <x v="242"/>
      <x v="268"/>
    </i>
    <i>
      <x v="51"/>
      <x v="9"/>
      <x v="108"/>
    </i>
    <i r="1">
      <x v="14"/>
      <x v="630"/>
    </i>
    <i r="1">
      <x v="16"/>
      <x v="58"/>
    </i>
    <i r="1">
      <x v="17"/>
      <x v="523"/>
    </i>
    <i r="1">
      <x v="23"/>
      <x v="575"/>
    </i>
    <i r="1">
      <x v="29"/>
      <x v="628"/>
    </i>
    <i r="1">
      <x v="35"/>
      <x v="536"/>
    </i>
    <i r="1">
      <x v="49"/>
      <x v="19"/>
    </i>
    <i r="2">
      <x v="158"/>
    </i>
    <i r="1">
      <x v="59"/>
      <x v="711"/>
    </i>
    <i r="1">
      <x v="69"/>
      <x v="135"/>
    </i>
    <i r="1">
      <x v="73"/>
      <x v="623"/>
    </i>
    <i r="1">
      <x v="75"/>
      <x v="574"/>
    </i>
    <i r="1">
      <x v="78"/>
      <x v="577"/>
    </i>
    <i r="1">
      <x v="82"/>
      <x v="440"/>
    </i>
    <i r="1">
      <x v="83"/>
      <x v="448"/>
    </i>
    <i r="1">
      <x v="99"/>
      <x v="376"/>
    </i>
    <i r="1">
      <x v="109"/>
      <x v="114"/>
    </i>
    <i r="1">
      <x v="118"/>
      <x v="216"/>
    </i>
    <i r="1">
      <x v="126"/>
      <x v="438"/>
    </i>
    <i r="1">
      <x v="133"/>
      <x v="342"/>
    </i>
    <i r="1">
      <x v="141"/>
      <x v="384"/>
    </i>
    <i r="1">
      <x v="148"/>
      <x v="277"/>
    </i>
    <i r="1">
      <x v="149"/>
      <x v="402"/>
    </i>
    <i r="1">
      <x v="156"/>
      <x v="535"/>
    </i>
    <i r="1">
      <x v="157"/>
      <x v="48"/>
    </i>
    <i r="1">
      <x v="170"/>
      <x v="491"/>
    </i>
    <i r="1">
      <x v="171"/>
      <x v="41"/>
    </i>
    <i r="1">
      <x v="172"/>
      <x v="91"/>
    </i>
    <i r="1">
      <x v="175"/>
      <x v="443"/>
    </i>
    <i r="1">
      <x v="178"/>
      <x v="413"/>
    </i>
    <i r="1">
      <x v="194"/>
      <x v="330"/>
    </i>
    <i r="1">
      <x v="195"/>
      <x v="463"/>
    </i>
    <i r="1">
      <x v="196"/>
      <x v="374"/>
    </i>
    <i r="1">
      <x v="200"/>
      <x v="516"/>
    </i>
    <i r="1">
      <x v="206"/>
      <x v="424"/>
    </i>
    <i r="1">
      <x v="211"/>
      <x v="159"/>
    </i>
    <i r="1">
      <x v="216"/>
      <x v="69"/>
    </i>
    <i r="1">
      <x v="221"/>
      <x v="459"/>
    </i>
    <i r="1">
      <x v="226"/>
      <x v="302"/>
    </i>
    <i r="1">
      <x v="231"/>
      <x v="406"/>
    </i>
    <i r="1">
      <x v="239"/>
      <x v="552"/>
    </i>
    <i r="1">
      <x v="243"/>
      <x v="285"/>
    </i>
    <i r="1">
      <x v="244"/>
      <x v="436"/>
    </i>
    <i>
      <x v="52"/>
      <x v="245"/>
      <x v="715"/>
    </i>
  </rowItems>
  <colItems count="1">
    <i/>
  </colItem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Q1000">
  <autoFilter ref="B1:Q1000" xr:uid="{00000000-000C-0000-FFFF-FFFF00000000}"/>
  <sortState xmlns:xlrd2="http://schemas.microsoft.com/office/spreadsheetml/2017/richdata2" ref="B2:Q1000">
    <sortCondition ref="P1:P1000"/>
  </sortState>
  <tableColumns count="16">
    <tableColumn id="1" xr3:uid="{00000000-0010-0000-0000-000001000000}" name="Datum navštívení"/>
    <tableColumn id="2" xr3:uid="{00000000-0010-0000-0000-000002000000}" name="Příjmení a jméno"/>
    <tableColumn id="3" xr3:uid="{00000000-0010-0000-0000-000003000000}" name="Volací jméno psa"/>
    <tableColumn id="4" xr3:uid="{00000000-0010-0000-0000-000004000000}" name="Body"/>
    <tableColumn id="5" xr3:uid="{00000000-0010-0000-0000-000005000000}" name="NP"/>
    <tableColumn id="6" xr3:uid="{00000000-0010-0000-0000-000006000000}" name="NPP"/>
    <tableColumn id="7" xr3:uid="{00000000-0010-0000-0000-000007000000}" name="NPR"/>
    <tableColumn id="8" xr3:uid="{00000000-0010-0000-0000-000008000000}" name="1000 m."/>
    <tableColumn id="9" xr3:uid="{00000000-0010-0000-0000-000009000000}" name="Rozhledny"/>
    <tableColumn id="10" xr3:uid="{00000000-0010-0000-0000-00000A000000}" name="Soutoky"/>
    <tableColumn id="11" xr3:uid="{00000000-0010-0000-0000-00000B000000}" name="Prameny"/>
    <tableColumn id="12" xr3:uid="{00000000-0010-0000-0000-00000C000000}" name="Bájná hora Říp"/>
    <tableColumn id="13" xr3:uid="{00000000-0010-0000-0000-00000D000000}" name="Bájná hora Blaník"/>
    <tableColumn id="14" xr3:uid="{00000000-0010-0000-0000-00000E000000}" name="Navštívená místa_x000a_(červeně = psi nevítáni)"/>
    <tableColumn id="15" xr3:uid="{00000000-0010-0000-0000-00000F000000}" name="Psi nevítáni v místě:"/>
    <tableColumn id="16" xr3:uid="{00000000-0010-0000-0000-000010000000}" name="Odkaz na trasu _x000a_(nejlépe na - mapy.cz)"/>
  </tableColumns>
  <tableStyleInfo name="nasbíraná data-style" showFirstColumn="1" showLastColumn="1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y.cz/s/3p0mF" TargetMode="External"/><Relationship Id="rId18" Type="http://schemas.openxmlformats.org/officeDocument/2006/relationships/hyperlink" Target="https://mapy.cz/s/3pzjt" TargetMode="External"/><Relationship Id="rId26" Type="http://schemas.openxmlformats.org/officeDocument/2006/relationships/hyperlink" Target="https://mapy.cz/s/3qyW4" TargetMode="External"/><Relationship Id="rId39" Type="http://schemas.openxmlformats.org/officeDocument/2006/relationships/hyperlink" Target="https://mapy.cz/s/3s96f" TargetMode="External"/><Relationship Id="rId21" Type="http://schemas.openxmlformats.org/officeDocument/2006/relationships/hyperlink" Target="https://mapy.cz/s/3pLEy" TargetMode="External"/><Relationship Id="rId34" Type="http://schemas.openxmlformats.org/officeDocument/2006/relationships/hyperlink" Target="https://mapy.cz/s/3rgqO" TargetMode="External"/><Relationship Id="rId42" Type="http://schemas.openxmlformats.org/officeDocument/2006/relationships/hyperlink" Target="https://mapy.cz/s/3sLx9" TargetMode="External"/><Relationship Id="rId47" Type="http://schemas.openxmlformats.org/officeDocument/2006/relationships/hyperlink" Target="https://mapy.cz/s/kemuvuvana" TargetMode="External"/><Relationship Id="rId50" Type="http://schemas.openxmlformats.org/officeDocument/2006/relationships/hyperlink" Target="https://mapy.cz/s/dorevuzube" TargetMode="External"/><Relationship Id="rId55" Type="http://schemas.openxmlformats.org/officeDocument/2006/relationships/hyperlink" Target="https://mapy.cz/s/copofugoja" TargetMode="External"/><Relationship Id="rId7" Type="http://schemas.openxmlformats.org/officeDocument/2006/relationships/hyperlink" Target="https://mapy.cz/s/3nmSt" TargetMode="External"/><Relationship Id="rId2" Type="http://schemas.openxmlformats.org/officeDocument/2006/relationships/hyperlink" Target="https://mapy.cz/s/3ljEn" TargetMode="External"/><Relationship Id="rId16" Type="http://schemas.openxmlformats.org/officeDocument/2006/relationships/hyperlink" Target="https://mapy.cz/s/3pkqB" TargetMode="External"/><Relationship Id="rId29" Type="http://schemas.openxmlformats.org/officeDocument/2006/relationships/hyperlink" Target="https://mapy.cz/s/3qZ8M" TargetMode="External"/><Relationship Id="rId11" Type="http://schemas.openxmlformats.org/officeDocument/2006/relationships/hyperlink" Target="https://mapy.cz/s/3ogwc" TargetMode="External"/><Relationship Id="rId24" Type="http://schemas.openxmlformats.org/officeDocument/2006/relationships/hyperlink" Target="https://mapy.cz/s/3q3ip" TargetMode="External"/><Relationship Id="rId32" Type="http://schemas.openxmlformats.org/officeDocument/2006/relationships/hyperlink" Target="https://mapy.cz/s/3rgnP" TargetMode="External"/><Relationship Id="rId37" Type="http://schemas.openxmlformats.org/officeDocument/2006/relationships/hyperlink" Target="https://mapy.cz/s/3rNd5" TargetMode="External"/><Relationship Id="rId40" Type="http://schemas.openxmlformats.org/officeDocument/2006/relationships/hyperlink" Target="https://en.mapy.cz/s/3sFuv" TargetMode="External"/><Relationship Id="rId45" Type="http://schemas.openxmlformats.org/officeDocument/2006/relationships/hyperlink" Target="https://mapy.cz/s/3xbsd" TargetMode="External"/><Relationship Id="rId53" Type="http://schemas.openxmlformats.org/officeDocument/2006/relationships/hyperlink" Target="https://mapy.cz/s/lobutefuba" TargetMode="External"/><Relationship Id="rId58" Type="http://schemas.openxmlformats.org/officeDocument/2006/relationships/hyperlink" Target="https://mapy.cz/s/bulonopepu?fbclid=IwAR3ON1KjQTdIYzT_On0PvYZpUTZFGELHLWoN-Lx0u3N011cJMACLMtbTU50" TargetMode="External"/><Relationship Id="rId5" Type="http://schemas.openxmlformats.org/officeDocument/2006/relationships/hyperlink" Target="https://mapy.cz/turisticka?planovani-trasy&amp;x=14.9244701&amp;y=49.7996063&amp;z=16&amp;box=1&amp;rc=95X-ixWOUBgg6ff5hiNgp0hunG6f6NhhseGqg.ufWj50XX03fCeoN3ZQ&amp;rs=coor&amp;rs=coor&amp;rs=coor&amp;rs=coor&amp;rs=coor&amp;rs=coor&amp;rs=addr&amp;rs=coor&amp;rs=coor&amp;ri=&amp;ri=&amp;ri=&amp;ri=&amp;ri=&amp;ri=&amp;ri=9430374&amp;ri=&amp;ri=&amp;mrp=%7B%22c%22%3A132%7D&amp;rt=&amp;rt=&amp;rt=&amp;rt=&amp;rt=&amp;rt=&amp;rt=&amp;rt=&amp;rt=&amp;xc=%5B%5D" TargetMode="External"/><Relationship Id="rId61" Type="http://schemas.openxmlformats.org/officeDocument/2006/relationships/comments" Target="../comments1.xml"/><Relationship Id="rId19" Type="http://schemas.openxmlformats.org/officeDocument/2006/relationships/hyperlink" Target="https://mapy.cz/s/3pDgJ" TargetMode="External"/><Relationship Id="rId14" Type="http://schemas.openxmlformats.org/officeDocument/2006/relationships/hyperlink" Target="https://mapy.cz/s/3p7Ol" TargetMode="External"/><Relationship Id="rId22" Type="http://schemas.openxmlformats.org/officeDocument/2006/relationships/hyperlink" Target="https://mapy.cz/s/3pQvu" TargetMode="External"/><Relationship Id="rId27" Type="http://schemas.openxmlformats.org/officeDocument/2006/relationships/hyperlink" Target="https://mapy.cz/s/3qBEc" TargetMode="External"/><Relationship Id="rId30" Type="http://schemas.openxmlformats.org/officeDocument/2006/relationships/hyperlink" Target="https://mapy.cz/s/3sbXX" TargetMode="External"/><Relationship Id="rId35" Type="http://schemas.openxmlformats.org/officeDocument/2006/relationships/hyperlink" Target="https://mapy.cz/s/3sbXt" TargetMode="External"/><Relationship Id="rId43" Type="http://schemas.openxmlformats.org/officeDocument/2006/relationships/hyperlink" Target="https://mapy.cz/s/3vwvo" TargetMode="External"/><Relationship Id="rId48" Type="http://schemas.openxmlformats.org/officeDocument/2006/relationships/hyperlink" Target="https://mapy.cz/s/cubeguguto" TargetMode="External"/><Relationship Id="rId56" Type="http://schemas.openxmlformats.org/officeDocument/2006/relationships/hyperlink" Target="https://mapy.cz/s/kobobareno" TargetMode="External"/><Relationship Id="rId8" Type="http://schemas.openxmlformats.org/officeDocument/2006/relationships/hyperlink" Target="https://mapy.cz/s/3nsZE" TargetMode="External"/><Relationship Id="rId51" Type="http://schemas.openxmlformats.org/officeDocument/2006/relationships/hyperlink" Target="https://mapy.cz/s/lujupohugo" TargetMode="External"/><Relationship Id="rId3" Type="http://schemas.openxmlformats.org/officeDocument/2006/relationships/hyperlink" Target="https://mapy.cz/s/3sbVa" TargetMode="External"/><Relationship Id="rId12" Type="http://schemas.openxmlformats.org/officeDocument/2006/relationships/hyperlink" Target="https://mapy.cz/s/3oE1D" TargetMode="External"/><Relationship Id="rId17" Type="http://schemas.openxmlformats.org/officeDocument/2006/relationships/hyperlink" Target="https://mapy.cz/s/3pziZ" TargetMode="External"/><Relationship Id="rId25" Type="http://schemas.openxmlformats.org/officeDocument/2006/relationships/hyperlink" Target="https://mapy.cz/s/3qkKB" TargetMode="External"/><Relationship Id="rId33" Type="http://schemas.openxmlformats.org/officeDocument/2006/relationships/hyperlink" Target="https://mapy.cz/s/3rgpO" TargetMode="External"/><Relationship Id="rId38" Type="http://schemas.openxmlformats.org/officeDocument/2006/relationships/hyperlink" Target="https://mapy.cz/s/3rNcF" TargetMode="External"/><Relationship Id="rId46" Type="http://schemas.openxmlformats.org/officeDocument/2006/relationships/hyperlink" Target="https://mapy.cz/s/puvobasoju" TargetMode="External"/><Relationship Id="rId59" Type="http://schemas.openxmlformats.org/officeDocument/2006/relationships/vmlDrawing" Target="../drawings/vmlDrawing1.vml"/><Relationship Id="rId20" Type="http://schemas.openxmlformats.org/officeDocument/2006/relationships/hyperlink" Target="https://mapy.cz/s/3sbYv" TargetMode="External"/><Relationship Id="rId41" Type="http://schemas.openxmlformats.org/officeDocument/2006/relationships/hyperlink" Target="https://en.mapy.cz/s/3sGNI" TargetMode="External"/><Relationship Id="rId54" Type="http://schemas.openxmlformats.org/officeDocument/2006/relationships/hyperlink" Target="https://mapy.cz/s/jepehocova" TargetMode="External"/><Relationship Id="rId1" Type="http://schemas.openxmlformats.org/officeDocument/2006/relationships/hyperlink" Target="https://mapy.cz/s/3keYZ" TargetMode="External"/><Relationship Id="rId6" Type="http://schemas.openxmlformats.org/officeDocument/2006/relationships/hyperlink" Target="https://mapy.cz/s/3mRXL" TargetMode="External"/><Relationship Id="rId15" Type="http://schemas.openxmlformats.org/officeDocument/2006/relationships/hyperlink" Target="https://mapy.cz/s/3sbYP" TargetMode="External"/><Relationship Id="rId23" Type="http://schemas.openxmlformats.org/officeDocument/2006/relationships/hyperlink" Target="https://mapy.cz/s/3pUMR" TargetMode="External"/><Relationship Id="rId28" Type="http://schemas.openxmlformats.org/officeDocument/2006/relationships/hyperlink" Target="https://mapy.cz/s/3sbY8" TargetMode="External"/><Relationship Id="rId36" Type="http://schemas.openxmlformats.org/officeDocument/2006/relationships/hyperlink" Target="https://mapy.cz/s/3rw37" TargetMode="External"/><Relationship Id="rId49" Type="http://schemas.openxmlformats.org/officeDocument/2006/relationships/hyperlink" Target="https://mapy.cz/s/bufevubuva" TargetMode="External"/><Relationship Id="rId57" Type="http://schemas.openxmlformats.org/officeDocument/2006/relationships/hyperlink" Target="https://mapy.cz/s/fumatefepa" TargetMode="External"/><Relationship Id="rId10" Type="http://schemas.openxmlformats.org/officeDocument/2006/relationships/hyperlink" Target="https://mapy.cz/s/3nZ8J" TargetMode="External"/><Relationship Id="rId31" Type="http://schemas.openxmlformats.org/officeDocument/2006/relationships/hyperlink" Target="https://mapy.cz/s/3rglf" TargetMode="External"/><Relationship Id="rId44" Type="http://schemas.openxmlformats.org/officeDocument/2006/relationships/hyperlink" Target="https://mapy.cz/s/3xc0p" TargetMode="External"/><Relationship Id="rId52" Type="http://schemas.openxmlformats.org/officeDocument/2006/relationships/hyperlink" Target="https://mapy.cz/s/popenomere" TargetMode="External"/><Relationship Id="rId60" Type="http://schemas.openxmlformats.org/officeDocument/2006/relationships/table" Target="../tables/table1.xml"/><Relationship Id="rId4" Type="http://schemas.openxmlformats.org/officeDocument/2006/relationships/hyperlink" Target="https://mapy.cz/s/3moH0" TargetMode="External"/><Relationship Id="rId9" Type="http://schemas.openxmlformats.org/officeDocument/2006/relationships/hyperlink" Target="https://mapy.cz/s/3nI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AC992"/>
  <sheetViews>
    <sheetView workbookViewId="0"/>
  </sheetViews>
  <sheetFormatPr defaultColWidth="14.44140625" defaultRowHeight="15" customHeight="1" x14ac:dyDescent="0.3"/>
  <cols>
    <col min="1" max="1" width="2.6640625" customWidth="1"/>
    <col min="2" max="2" width="10.5546875" customWidth="1"/>
    <col min="3" max="3" width="22.88671875" customWidth="1"/>
    <col min="4" max="4" width="19.88671875" customWidth="1"/>
    <col min="5" max="5" width="16.109375" customWidth="1"/>
    <col min="6" max="14" width="12.6640625" customWidth="1"/>
    <col min="15" max="29" width="17.88671875" customWidth="1"/>
  </cols>
  <sheetData>
    <row r="1" spans="1:29" ht="24.75" customHeight="1" x14ac:dyDescent="0.35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35">
      <c r="A2" s="1"/>
      <c r="B2" s="6" t="s">
        <v>13</v>
      </c>
      <c r="C2" s="7" t="s">
        <v>14</v>
      </c>
      <c r="D2" s="7" t="s">
        <v>15</v>
      </c>
      <c r="E2" s="8">
        <v>414</v>
      </c>
      <c r="F2" s="9">
        <v>4</v>
      </c>
      <c r="G2" s="9">
        <v>38</v>
      </c>
      <c r="H2" s="9">
        <v>29</v>
      </c>
      <c r="I2" s="9">
        <v>60</v>
      </c>
      <c r="J2" s="9">
        <v>159</v>
      </c>
      <c r="K2" s="9">
        <v>74</v>
      </c>
      <c r="L2" s="9">
        <v>48</v>
      </c>
      <c r="M2" s="9">
        <v>1</v>
      </c>
      <c r="N2" s="9">
        <v>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35">
      <c r="A3" s="1"/>
      <c r="B3" s="10" t="s">
        <v>16</v>
      </c>
      <c r="C3" s="11" t="s">
        <v>17</v>
      </c>
      <c r="D3" s="11" t="s">
        <v>18</v>
      </c>
      <c r="E3" s="12">
        <v>361</v>
      </c>
      <c r="F3" s="9">
        <v>4</v>
      </c>
      <c r="G3" s="9">
        <v>46</v>
      </c>
      <c r="H3" s="9">
        <v>42</v>
      </c>
      <c r="I3" s="9">
        <v>58</v>
      </c>
      <c r="J3" s="9">
        <v>155</v>
      </c>
      <c r="K3" s="9">
        <v>39</v>
      </c>
      <c r="L3" s="9">
        <v>15</v>
      </c>
      <c r="M3" s="9">
        <v>1</v>
      </c>
      <c r="N3" s="9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8" x14ac:dyDescent="0.35">
      <c r="A4" s="1"/>
      <c r="B4" s="13" t="s">
        <v>19</v>
      </c>
      <c r="C4" s="14" t="s">
        <v>20</v>
      </c>
      <c r="D4" s="14" t="s">
        <v>21</v>
      </c>
      <c r="E4" s="15">
        <v>300</v>
      </c>
      <c r="F4" s="9">
        <v>1</v>
      </c>
      <c r="G4" s="9">
        <v>34</v>
      </c>
      <c r="H4" s="9">
        <v>30</v>
      </c>
      <c r="I4" s="9">
        <v>61</v>
      </c>
      <c r="J4" s="9">
        <v>128</v>
      </c>
      <c r="K4" s="9">
        <v>28</v>
      </c>
      <c r="L4" s="9">
        <v>16</v>
      </c>
      <c r="M4" s="9">
        <v>1</v>
      </c>
      <c r="N4" s="9"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35">
      <c r="A5" s="1"/>
      <c r="B5" s="16" t="s">
        <v>22</v>
      </c>
      <c r="C5" s="17" t="s">
        <v>23</v>
      </c>
      <c r="D5" s="17" t="s">
        <v>24</v>
      </c>
      <c r="E5" s="18">
        <v>299</v>
      </c>
      <c r="F5" s="9">
        <v>1</v>
      </c>
      <c r="G5" s="9">
        <v>20</v>
      </c>
      <c r="H5" s="9">
        <v>30</v>
      </c>
      <c r="I5" s="9">
        <v>111</v>
      </c>
      <c r="J5" s="9">
        <v>71</v>
      </c>
      <c r="K5" s="9">
        <v>34</v>
      </c>
      <c r="L5" s="9">
        <v>31</v>
      </c>
      <c r="M5" s="9">
        <v>0</v>
      </c>
      <c r="N5" s="9"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8" x14ac:dyDescent="0.35">
      <c r="A6" s="1"/>
      <c r="B6" s="16" t="s">
        <v>25</v>
      </c>
      <c r="C6" s="17" t="s">
        <v>26</v>
      </c>
      <c r="D6" s="17" t="s">
        <v>27</v>
      </c>
      <c r="E6" s="18">
        <v>233</v>
      </c>
      <c r="F6" s="9">
        <v>0</v>
      </c>
      <c r="G6" s="9">
        <v>21</v>
      </c>
      <c r="H6" s="9">
        <v>26</v>
      </c>
      <c r="I6" s="9">
        <v>66</v>
      </c>
      <c r="J6" s="9">
        <v>80</v>
      </c>
      <c r="K6" s="9">
        <v>28</v>
      </c>
      <c r="L6" s="9">
        <v>12</v>
      </c>
      <c r="M6" s="9">
        <v>0</v>
      </c>
      <c r="N6" s="9"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8" x14ac:dyDescent="0.35">
      <c r="A7" s="1"/>
      <c r="B7" s="16" t="s">
        <v>28</v>
      </c>
      <c r="C7" s="17" t="s">
        <v>29</v>
      </c>
      <c r="D7" s="17" t="s">
        <v>30</v>
      </c>
      <c r="E7" s="18">
        <v>194</v>
      </c>
      <c r="F7" s="9">
        <v>1</v>
      </c>
      <c r="G7" s="9">
        <v>22</v>
      </c>
      <c r="H7" s="9">
        <v>23</v>
      </c>
      <c r="I7" s="9">
        <v>49</v>
      </c>
      <c r="J7" s="9">
        <v>73</v>
      </c>
      <c r="K7" s="9">
        <v>16</v>
      </c>
      <c r="L7" s="9">
        <v>10</v>
      </c>
      <c r="M7" s="9">
        <v>0</v>
      </c>
      <c r="N7" s="9"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8" x14ac:dyDescent="0.35">
      <c r="A8" s="1"/>
      <c r="B8" s="16" t="s">
        <v>31</v>
      </c>
      <c r="C8" s="17" t="s">
        <v>32</v>
      </c>
      <c r="D8" s="17" t="s">
        <v>33</v>
      </c>
      <c r="E8" s="18">
        <v>130</v>
      </c>
      <c r="F8" s="9">
        <v>1</v>
      </c>
      <c r="G8" s="9">
        <v>22</v>
      </c>
      <c r="H8" s="9">
        <v>13</v>
      </c>
      <c r="I8" s="9">
        <v>15</v>
      </c>
      <c r="J8" s="9">
        <v>50</v>
      </c>
      <c r="K8" s="9">
        <v>25</v>
      </c>
      <c r="L8" s="9">
        <v>4</v>
      </c>
      <c r="M8" s="9">
        <v>0</v>
      </c>
      <c r="N8" s="9"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8" x14ac:dyDescent="0.35">
      <c r="A9" s="1"/>
      <c r="B9" s="16" t="s">
        <v>34</v>
      </c>
      <c r="C9" s="17" t="s">
        <v>35</v>
      </c>
      <c r="D9" s="17" t="s">
        <v>36</v>
      </c>
      <c r="E9" s="18">
        <v>127</v>
      </c>
      <c r="F9" s="9">
        <v>2</v>
      </c>
      <c r="G9" s="9">
        <v>12</v>
      </c>
      <c r="H9" s="9">
        <v>9</v>
      </c>
      <c r="I9" s="9">
        <v>44</v>
      </c>
      <c r="J9" s="9">
        <v>41</v>
      </c>
      <c r="K9" s="9">
        <v>11</v>
      </c>
      <c r="L9" s="9">
        <v>6</v>
      </c>
      <c r="M9" s="9">
        <v>1</v>
      </c>
      <c r="N9" s="9">
        <v>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8" x14ac:dyDescent="0.35">
      <c r="A10" s="1"/>
      <c r="B10" s="16" t="s">
        <v>37</v>
      </c>
      <c r="C10" s="17" t="s">
        <v>38</v>
      </c>
      <c r="D10" s="17" t="s">
        <v>39</v>
      </c>
      <c r="E10" s="18">
        <v>117</v>
      </c>
      <c r="F10" s="9">
        <v>2</v>
      </c>
      <c r="G10" s="9">
        <v>16</v>
      </c>
      <c r="H10" s="9">
        <v>10</v>
      </c>
      <c r="I10" s="9">
        <v>14</v>
      </c>
      <c r="J10" s="9">
        <v>60</v>
      </c>
      <c r="K10" s="9">
        <v>13</v>
      </c>
      <c r="L10" s="9">
        <v>1</v>
      </c>
      <c r="M10" s="9">
        <v>1</v>
      </c>
      <c r="N10" s="9"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8" x14ac:dyDescent="0.35">
      <c r="A11" s="1"/>
      <c r="B11" s="16" t="s">
        <v>40</v>
      </c>
      <c r="C11" s="17" t="s">
        <v>41</v>
      </c>
      <c r="D11" s="17" t="s">
        <v>42</v>
      </c>
      <c r="E11" s="18">
        <v>86</v>
      </c>
      <c r="F11" s="9">
        <v>2</v>
      </c>
      <c r="G11" s="9">
        <v>9</v>
      </c>
      <c r="H11" s="9">
        <v>4</v>
      </c>
      <c r="I11" s="9">
        <v>1</v>
      </c>
      <c r="J11" s="9">
        <v>58</v>
      </c>
      <c r="K11" s="9">
        <v>11</v>
      </c>
      <c r="L11" s="9">
        <v>0</v>
      </c>
      <c r="M11" s="9">
        <v>1</v>
      </c>
      <c r="N11" s="9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8" x14ac:dyDescent="0.35">
      <c r="A12" s="1"/>
      <c r="B12" s="16" t="s">
        <v>43</v>
      </c>
      <c r="C12" s="17" t="s">
        <v>44</v>
      </c>
      <c r="D12" s="17" t="s">
        <v>45</v>
      </c>
      <c r="E12" s="18">
        <v>71</v>
      </c>
      <c r="F12" s="9">
        <v>1</v>
      </c>
      <c r="G12" s="9">
        <v>7</v>
      </c>
      <c r="H12" s="9">
        <v>3</v>
      </c>
      <c r="I12" s="9">
        <v>2</v>
      </c>
      <c r="J12" s="9">
        <v>55</v>
      </c>
      <c r="K12" s="9">
        <v>3</v>
      </c>
      <c r="L12" s="9">
        <v>0</v>
      </c>
      <c r="M12" s="9">
        <v>0</v>
      </c>
      <c r="N12" s="9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8" x14ac:dyDescent="0.35">
      <c r="A13" s="1"/>
      <c r="B13" s="16" t="s">
        <v>46</v>
      </c>
      <c r="C13" s="17" t="s">
        <v>47</v>
      </c>
      <c r="D13" s="17" t="s">
        <v>48</v>
      </c>
      <c r="E13" s="18">
        <v>70</v>
      </c>
      <c r="F13" s="9">
        <v>2</v>
      </c>
      <c r="G13" s="9">
        <v>11</v>
      </c>
      <c r="H13" s="9">
        <v>6</v>
      </c>
      <c r="I13" s="9">
        <v>3</v>
      </c>
      <c r="J13" s="9">
        <v>41</v>
      </c>
      <c r="K13" s="9">
        <v>3</v>
      </c>
      <c r="L13" s="9">
        <v>4</v>
      </c>
      <c r="M13" s="9">
        <v>0</v>
      </c>
      <c r="N13" s="9"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8" x14ac:dyDescent="0.35">
      <c r="A14" s="1"/>
      <c r="B14" s="16" t="s">
        <v>49</v>
      </c>
      <c r="C14" s="17" t="s">
        <v>50</v>
      </c>
      <c r="D14" s="17" t="s">
        <v>51</v>
      </c>
      <c r="E14" s="18">
        <v>57</v>
      </c>
      <c r="F14" s="9">
        <v>0</v>
      </c>
      <c r="G14" s="9">
        <v>10</v>
      </c>
      <c r="H14" s="9">
        <v>8</v>
      </c>
      <c r="I14" s="9">
        <v>2</v>
      </c>
      <c r="J14" s="9">
        <v>31</v>
      </c>
      <c r="K14" s="9">
        <v>6</v>
      </c>
      <c r="L14" s="9">
        <v>0</v>
      </c>
      <c r="M14" s="9">
        <v>0</v>
      </c>
      <c r="N14" s="9"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8" x14ac:dyDescent="0.35">
      <c r="A15" s="1"/>
      <c r="B15" s="16" t="s">
        <v>52</v>
      </c>
      <c r="C15" s="17" t="s">
        <v>53</v>
      </c>
      <c r="D15" s="17" t="s">
        <v>54</v>
      </c>
      <c r="E15" s="18">
        <v>56</v>
      </c>
      <c r="F15" s="9">
        <v>1</v>
      </c>
      <c r="G15" s="9">
        <v>5</v>
      </c>
      <c r="H15" s="9">
        <v>5</v>
      </c>
      <c r="I15" s="9">
        <v>9</v>
      </c>
      <c r="J15" s="9">
        <v>19</v>
      </c>
      <c r="K15" s="9">
        <v>12</v>
      </c>
      <c r="L15" s="9">
        <v>5</v>
      </c>
      <c r="M15" s="9">
        <v>0</v>
      </c>
      <c r="N15" s="9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8" x14ac:dyDescent="0.35">
      <c r="A16" s="1"/>
      <c r="B16" s="16" t="s">
        <v>55</v>
      </c>
      <c r="C16" s="17" t="s">
        <v>56</v>
      </c>
      <c r="D16" s="17" t="s">
        <v>57</v>
      </c>
      <c r="E16" s="18">
        <v>52</v>
      </c>
      <c r="F16" s="9">
        <v>1</v>
      </c>
      <c r="G16" s="9">
        <v>5</v>
      </c>
      <c r="H16" s="9">
        <v>5</v>
      </c>
      <c r="I16" s="9">
        <v>3</v>
      </c>
      <c r="J16" s="9">
        <v>23</v>
      </c>
      <c r="K16" s="9">
        <v>11</v>
      </c>
      <c r="L16" s="9">
        <v>4</v>
      </c>
      <c r="M16" s="9">
        <v>0</v>
      </c>
      <c r="N16" s="9"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8" x14ac:dyDescent="0.35">
      <c r="A17" s="1"/>
      <c r="B17" s="16" t="s">
        <v>58</v>
      </c>
      <c r="C17" s="17" t="s">
        <v>59</v>
      </c>
      <c r="D17" s="17" t="s">
        <v>60</v>
      </c>
      <c r="E17" s="18">
        <v>51</v>
      </c>
      <c r="F17" s="9">
        <v>1</v>
      </c>
      <c r="G17" s="9">
        <v>2</v>
      </c>
      <c r="H17" s="9">
        <v>5</v>
      </c>
      <c r="I17" s="9">
        <v>11</v>
      </c>
      <c r="J17" s="9">
        <v>18</v>
      </c>
      <c r="K17" s="9">
        <v>10</v>
      </c>
      <c r="L17" s="9">
        <v>3</v>
      </c>
      <c r="M17" s="9">
        <v>0</v>
      </c>
      <c r="N17" s="9">
        <v>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8" x14ac:dyDescent="0.35">
      <c r="A18" s="1"/>
      <c r="B18" s="16" t="s">
        <v>61</v>
      </c>
      <c r="C18" s="17" t="s">
        <v>62</v>
      </c>
      <c r="D18" s="17" t="s">
        <v>63</v>
      </c>
      <c r="E18" s="18">
        <v>50</v>
      </c>
      <c r="F18" s="9">
        <v>0</v>
      </c>
      <c r="G18" s="9">
        <v>6</v>
      </c>
      <c r="H18" s="9">
        <v>5</v>
      </c>
      <c r="I18" s="9">
        <v>6</v>
      </c>
      <c r="J18" s="9">
        <v>29</v>
      </c>
      <c r="K18" s="9">
        <v>3</v>
      </c>
      <c r="L18" s="9">
        <v>1</v>
      </c>
      <c r="M18" s="9">
        <v>0</v>
      </c>
      <c r="N18" s="9">
        <v>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8" x14ac:dyDescent="0.35">
      <c r="A19" s="1"/>
      <c r="B19" s="16" t="s">
        <v>64</v>
      </c>
      <c r="C19" s="17" t="s">
        <v>65</v>
      </c>
      <c r="D19" s="17" t="s">
        <v>66</v>
      </c>
      <c r="E19" s="18">
        <v>46</v>
      </c>
      <c r="F19" s="9">
        <v>1</v>
      </c>
      <c r="G19" s="9">
        <v>7</v>
      </c>
      <c r="H19" s="9">
        <v>7</v>
      </c>
      <c r="I19" s="9">
        <v>0</v>
      </c>
      <c r="J19" s="9">
        <v>26</v>
      </c>
      <c r="K19" s="9">
        <v>5</v>
      </c>
      <c r="L19" s="9">
        <v>0</v>
      </c>
      <c r="M19" s="9">
        <v>0</v>
      </c>
      <c r="N19" s="9"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8" x14ac:dyDescent="0.35">
      <c r="A20" s="1"/>
      <c r="B20" s="16" t="s">
        <v>67</v>
      </c>
      <c r="C20" s="17" t="s">
        <v>68</v>
      </c>
      <c r="D20" s="17" t="s">
        <v>69</v>
      </c>
      <c r="E20" s="18">
        <v>36</v>
      </c>
      <c r="F20" s="9">
        <v>1</v>
      </c>
      <c r="G20" s="9">
        <v>7</v>
      </c>
      <c r="H20" s="9">
        <v>6</v>
      </c>
      <c r="I20" s="9">
        <v>3</v>
      </c>
      <c r="J20" s="9">
        <v>8</v>
      </c>
      <c r="K20" s="9">
        <v>3</v>
      </c>
      <c r="L20" s="9">
        <v>7</v>
      </c>
      <c r="M20" s="9">
        <v>0</v>
      </c>
      <c r="N20" s="9">
        <v>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8" x14ac:dyDescent="0.35">
      <c r="A21" s="1"/>
      <c r="B21" s="16" t="s">
        <v>70</v>
      </c>
      <c r="C21" s="17" t="s">
        <v>71</v>
      </c>
      <c r="D21" s="17" t="s">
        <v>72</v>
      </c>
      <c r="E21" s="18">
        <v>34</v>
      </c>
      <c r="F21" s="9">
        <v>0</v>
      </c>
      <c r="G21" s="9">
        <v>6</v>
      </c>
      <c r="H21" s="9">
        <v>4</v>
      </c>
      <c r="I21" s="9">
        <v>0</v>
      </c>
      <c r="J21" s="9">
        <v>17</v>
      </c>
      <c r="K21" s="9">
        <v>4</v>
      </c>
      <c r="L21" s="9">
        <v>3</v>
      </c>
      <c r="M21" s="9">
        <v>0</v>
      </c>
      <c r="N21" s="9"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8" x14ac:dyDescent="0.35">
      <c r="A22" s="1"/>
      <c r="B22" s="16" t="s">
        <v>73</v>
      </c>
      <c r="C22" s="17" t="s">
        <v>74</v>
      </c>
      <c r="D22" s="17" t="s">
        <v>75</v>
      </c>
      <c r="E22" s="18">
        <v>28</v>
      </c>
      <c r="F22" s="9">
        <v>0</v>
      </c>
      <c r="G22" s="9">
        <v>1</v>
      </c>
      <c r="H22" s="9">
        <v>4</v>
      </c>
      <c r="I22" s="9">
        <v>1</v>
      </c>
      <c r="J22" s="9">
        <v>14</v>
      </c>
      <c r="K22" s="9">
        <v>7</v>
      </c>
      <c r="L22" s="9">
        <v>1</v>
      </c>
      <c r="M22" s="9">
        <v>0</v>
      </c>
      <c r="N22" s="9"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8" x14ac:dyDescent="0.35">
      <c r="A23" s="1"/>
      <c r="B23" s="16" t="s">
        <v>76</v>
      </c>
      <c r="C23" s="17" t="s">
        <v>77</v>
      </c>
      <c r="D23" s="17" t="s">
        <v>78</v>
      </c>
      <c r="E23" s="18">
        <v>23</v>
      </c>
      <c r="F23" s="9">
        <v>0</v>
      </c>
      <c r="G23" s="9">
        <v>3</v>
      </c>
      <c r="H23" s="9">
        <v>2</v>
      </c>
      <c r="I23" s="9">
        <v>6</v>
      </c>
      <c r="J23" s="9">
        <v>10</v>
      </c>
      <c r="K23" s="9">
        <v>0</v>
      </c>
      <c r="L23" s="9">
        <v>2</v>
      </c>
      <c r="M23" s="9">
        <v>0</v>
      </c>
      <c r="N23" s="9"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8" x14ac:dyDescent="0.35">
      <c r="A24" s="1"/>
      <c r="B24" s="16" t="s">
        <v>79</v>
      </c>
      <c r="C24" s="17" t="s">
        <v>80</v>
      </c>
      <c r="D24" s="17" t="s">
        <v>81</v>
      </c>
      <c r="E24" s="18">
        <v>22</v>
      </c>
      <c r="F24" s="9">
        <v>0</v>
      </c>
      <c r="G24" s="9">
        <v>1</v>
      </c>
      <c r="H24" s="9">
        <v>2</v>
      </c>
      <c r="I24" s="9">
        <v>1</v>
      </c>
      <c r="J24" s="9">
        <v>14</v>
      </c>
      <c r="K24" s="9">
        <v>1</v>
      </c>
      <c r="L24" s="9">
        <v>3</v>
      </c>
      <c r="M24" s="9">
        <v>0</v>
      </c>
      <c r="N24" s="9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8" x14ac:dyDescent="0.35">
      <c r="A25" s="1"/>
      <c r="B25" s="16" t="s">
        <v>82</v>
      </c>
      <c r="C25" s="17" t="s">
        <v>83</v>
      </c>
      <c r="D25" s="17" t="s">
        <v>84</v>
      </c>
      <c r="E25" s="18">
        <v>22</v>
      </c>
      <c r="F25" s="9">
        <v>1</v>
      </c>
      <c r="G25" s="9">
        <v>2</v>
      </c>
      <c r="H25" s="9">
        <v>6</v>
      </c>
      <c r="I25" s="9">
        <v>0</v>
      </c>
      <c r="J25" s="9">
        <v>12</v>
      </c>
      <c r="K25" s="9">
        <v>1</v>
      </c>
      <c r="L25" s="9">
        <v>0</v>
      </c>
      <c r="M25" s="9">
        <v>0</v>
      </c>
      <c r="N25" s="9"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8" x14ac:dyDescent="0.35">
      <c r="A26" s="1"/>
      <c r="B26" s="16" t="s">
        <v>85</v>
      </c>
      <c r="C26" s="17" t="s">
        <v>86</v>
      </c>
      <c r="D26" s="17" t="s">
        <v>87</v>
      </c>
      <c r="E26" s="18">
        <v>20</v>
      </c>
      <c r="F26" s="9">
        <v>0</v>
      </c>
      <c r="G26" s="9">
        <v>1</v>
      </c>
      <c r="H26" s="9">
        <v>1</v>
      </c>
      <c r="I26" s="9">
        <v>12</v>
      </c>
      <c r="J26" s="9">
        <v>6</v>
      </c>
      <c r="K26" s="9">
        <v>0</v>
      </c>
      <c r="L26" s="9">
        <v>0</v>
      </c>
      <c r="M26" s="9">
        <v>0</v>
      </c>
      <c r="N26" s="9"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8" x14ac:dyDescent="0.35">
      <c r="A27" s="1"/>
      <c r="B27" s="16" t="s">
        <v>88</v>
      </c>
      <c r="C27" s="17" t="s">
        <v>89</v>
      </c>
      <c r="D27" s="17" t="s">
        <v>90</v>
      </c>
      <c r="E27" s="18">
        <v>17</v>
      </c>
      <c r="F27" s="9">
        <v>1</v>
      </c>
      <c r="G27" s="9">
        <v>2</v>
      </c>
      <c r="H27" s="9">
        <v>1</v>
      </c>
      <c r="I27" s="9">
        <v>1</v>
      </c>
      <c r="J27" s="9">
        <v>9</v>
      </c>
      <c r="K27" s="9">
        <v>1</v>
      </c>
      <c r="L27" s="9">
        <v>1</v>
      </c>
      <c r="M27" s="9">
        <v>1</v>
      </c>
      <c r="N27" s="9"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8" x14ac:dyDescent="0.35">
      <c r="A28" s="1"/>
      <c r="B28" s="16" t="s">
        <v>91</v>
      </c>
      <c r="C28" s="17" t="s">
        <v>92</v>
      </c>
      <c r="D28" s="17" t="s">
        <v>69</v>
      </c>
      <c r="E28" s="18">
        <v>17</v>
      </c>
      <c r="F28" s="9">
        <v>0</v>
      </c>
      <c r="G28" s="9">
        <v>3</v>
      </c>
      <c r="H28" s="9">
        <v>3</v>
      </c>
      <c r="I28" s="9">
        <v>0</v>
      </c>
      <c r="J28" s="9">
        <v>8</v>
      </c>
      <c r="K28" s="9">
        <v>1</v>
      </c>
      <c r="L28" s="9">
        <v>0</v>
      </c>
      <c r="M28" s="9">
        <v>1</v>
      </c>
      <c r="N28" s="9">
        <v>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8" x14ac:dyDescent="0.35">
      <c r="A29" s="1"/>
      <c r="B29" s="16" t="s">
        <v>93</v>
      </c>
      <c r="C29" s="17" t="s">
        <v>94</v>
      </c>
      <c r="D29" s="17" t="s">
        <v>95</v>
      </c>
      <c r="E29" s="18">
        <v>16</v>
      </c>
      <c r="F29" s="9">
        <v>1</v>
      </c>
      <c r="G29" s="9">
        <v>2</v>
      </c>
      <c r="H29" s="9">
        <v>0</v>
      </c>
      <c r="I29" s="9">
        <v>2</v>
      </c>
      <c r="J29" s="9">
        <v>6</v>
      </c>
      <c r="K29" s="9">
        <v>3</v>
      </c>
      <c r="L29" s="9">
        <v>1</v>
      </c>
      <c r="M29" s="9">
        <v>0</v>
      </c>
      <c r="N29" s="9">
        <v>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8" x14ac:dyDescent="0.35">
      <c r="A30" s="1"/>
      <c r="B30" s="16" t="s">
        <v>96</v>
      </c>
      <c r="C30" s="17" t="s">
        <v>97</v>
      </c>
      <c r="D30" s="17" t="s">
        <v>98</v>
      </c>
      <c r="E30" s="18">
        <v>14</v>
      </c>
      <c r="F30" s="9">
        <v>0</v>
      </c>
      <c r="G30" s="9">
        <v>7</v>
      </c>
      <c r="H30" s="9">
        <v>1</v>
      </c>
      <c r="I30" s="9">
        <v>3</v>
      </c>
      <c r="J30" s="9">
        <v>3</v>
      </c>
      <c r="K30" s="9">
        <v>0</v>
      </c>
      <c r="L30" s="9">
        <v>0</v>
      </c>
      <c r="M30" s="9">
        <v>0</v>
      </c>
      <c r="N30" s="9"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8" x14ac:dyDescent="0.35">
      <c r="A31" s="1"/>
      <c r="B31" s="16" t="s">
        <v>99</v>
      </c>
      <c r="C31" s="17" t="s">
        <v>100</v>
      </c>
      <c r="D31" s="17" t="s">
        <v>101</v>
      </c>
      <c r="E31" s="18">
        <v>12</v>
      </c>
      <c r="F31" s="9">
        <v>0</v>
      </c>
      <c r="G31" s="9">
        <v>1</v>
      </c>
      <c r="H31" s="9">
        <v>2</v>
      </c>
      <c r="I31" s="9">
        <v>3</v>
      </c>
      <c r="J31" s="9">
        <v>6</v>
      </c>
      <c r="K31" s="9">
        <v>0</v>
      </c>
      <c r="L31" s="9">
        <v>0</v>
      </c>
      <c r="M31" s="9">
        <v>0</v>
      </c>
      <c r="N31" s="9"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" x14ac:dyDescent="0.35">
      <c r="A32" s="1"/>
      <c r="B32" s="16" t="s">
        <v>102</v>
      </c>
      <c r="C32" s="17" t="s">
        <v>103</v>
      </c>
      <c r="D32" s="17" t="s">
        <v>104</v>
      </c>
      <c r="E32" s="18">
        <v>10</v>
      </c>
      <c r="F32" s="9">
        <v>0</v>
      </c>
      <c r="G32" s="9">
        <v>1</v>
      </c>
      <c r="H32" s="9">
        <v>1</v>
      </c>
      <c r="I32" s="9">
        <v>0</v>
      </c>
      <c r="J32" s="9">
        <v>7</v>
      </c>
      <c r="K32" s="9">
        <v>0</v>
      </c>
      <c r="L32" s="9">
        <v>0</v>
      </c>
      <c r="M32" s="9">
        <v>1</v>
      </c>
      <c r="N32" s="9"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" x14ac:dyDescent="0.35">
      <c r="A33" s="1"/>
      <c r="B33" s="16" t="s">
        <v>105</v>
      </c>
      <c r="C33" s="17" t="s">
        <v>106</v>
      </c>
      <c r="D33" s="17" t="s">
        <v>107</v>
      </c>
      <c r="E33" s="18">
        <v>6</v>
      </c>
      <c r="F33" s="9">
        <v>1</v>
      </c>
      <c r="G33" s="9">
        <v>0</v>
      </c>
      <c r="H33" s="9">
        <v>0</v>
      </c>
      <c r="I33" s="9">
        <v>1</v>
      </c>
      <c r="J33" s="9">
        <v>2</v>
      </c>
      <c r="K33" s="9">
        <v>0</v>
      </c>
      <c r="L33" s="9">
        <v>1</v>
      </c>
      <c r="M33" s="9">
        <v>1</v>
      </c>
      <c r="N33" s="9">
        <v>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8" x14ac:dyDescent="0.35">
      <c r="A34" s="1"/>
      <c r="B34" s="16" t="s">
        <v>108</v>
      </c>
      <c r="C34" s="17" t="s">
        <v>109</v>
      </c>
      <c r="D34" s="17" t="s">
        <v>110</v>
      </c>
      <c r="E34" s="18">
        <v>6</v>
      </c>
      <c r="F34" s="9">
        <v>0</v>
      </c>
      <c r="G34" s="9">
        <v>0</v>
      </c>
      <c r="H34" s="9">
        <v>0</v>
      </c>
      <c r="I34" s="9">
        <v>3</v>
      </c>
      <c r="J34" s="9">
        <v>2</v>
      </c>
      <c r="K34" s="9">
        <v>1</v>
      </c>
      <c r="L34" s="9">
        <v>0</v>
      </c>
      <c r="M34" s="9">
        <v>0</v>
      </c>
      <c r="N34" s="9"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8" x14ac:dyDescent="0.35">
      <c r="A35" s="1"/>
      <c r="B35" s="16" t="s">
        <v>111</v>
      </c>
      <c r="C35" s="17" t="s">
        <v>112</v>
      </c>
      <c r="D35" s="17" t="s">
        <v>113</v>
      </c>
      <c r="E35" s="18">
        <v>6</v>
      </c>
      <c r="F35" s="9">
        <v>0</v>
      </c>
      <c r="G35" s="9">
        <v>0</v>
      </c>
      <c r="H35" s="9">
        <v>0</v>
      </c>
      <c r="I35" s="9">
        <v>1</v>
      </c>
      <c r="J35" s="9">
        <v>4</v>
      </c>
      <c r="K35" s="9">
        <v>0</v>
      </c>
      <c r="L35" s="9">
        <v>0</v>
      </c>
      <c r="M35" s="9">
        <v>0</v>
      </c>
      <c r="N35" s="9">
        <v>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8" x14ac:dyDescent="0.35">
      <c r="A36" s="1"/>
      <c r="B36" s="16" t="s">
        <v>114</v>
      </c>
      <c r="C36" s="17" t="s">
        <v>115</v>
      </c>
      <c r="D36" s="17" t="s">
        <v>116</v>
      </c>
      <c r="E36" s="18">
        <v>5</v>
      </c>
      <c r="F36" s="9">
        <v>1</v>
      </c>
      <c r="G36" s="9">
        <v>2</v>
      </c>
      <c r="H36" s="9">
        <v>0</v>
      </c>
      <c r="I36" s="9">
        <v>1</v>
      </c>
      <c r="J36" s="9">
        <v>1</v>
      </c>
      <c r="K36" s="9">
        <v>0</v>
      </c>
      <c r="L36" s="9">
        <v>0</v>
      </c>
      <c r="M36" s="9">
        <v>0</v>
      </c>
      <c r="N36" s="9"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8" x14ac:dyDescent="0.35">
      <c r="A37" s="1"/>
      <c r="B37" s="16" t="s">
        <v>117</v>
      </c>
      <c r="C37" s="17" t="s">
        <v>118</v>
      </c>
      <c r="D37" s="17" t="s">
        <v>119</v>
      </c>
      <c r="E37" s="18">
        <v>5</v>
      </c>
      <c r="F37" s="9">
        <v>0</v>
      </c>
      <c r="G37" s="9">
        <v>1</v>
      </c>
      <c r="H37" s="9">
        <v>0</v>
      </c>
      <c r="I37" s="9">
        <v>0</v>
      </c>
      <c r="J37" s="9">
        <v>2</v>
      </c>
      <c r="K37" s="9">
        <v>1</v>
      </c>
      <c r="L37" s="9">
        <v>1</v>
      </c>
      <c r="M37" s="9">
        <v>0</v>
      </c>
      <c r="N37" s="9"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x14ac:dyDescent="0.35">
      <c r="A38" s="1"/>
      <c r="B38" s="16" t="s">
        <v>120</v>
      </c>
      <c r="C38" s="17" t="s">
        <v>121</v>
      </c>
      <c r="D38" s="17" t="s">
        <v>122</v>
      </c>
      <c r="E38" s="18">
        <v>5</v>
      </c>
      <c r="F38" s="9">
        <v>1</v>
      </c>
      <c r="G38" s="9">
        <v>0</v>
      </c>
      <c r="H38" s="9">
        <v>0</v>
      </c>
      <c r="I38" s="9">
        <v>2</v>
      </c>
      <c r="J38" s="9">
        <v>2</v>
      </c>
      <c r="K38" s="9">
        <v>0</v>
      </c>
      <c r="L38" s="9">
        <v>0</v>
      </c>
      <c r="M38" s="9">
        <v>0</v>
      </c>
      <c r="N38" s="9"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8" x14ac:dyDescent="0.35">
      <c r="A39" s="1"/>
      <c r="B39" s="16" t="s">
        <v>123</v>
      </c>
      <c r="C39" s="17" t="s">
        <v>124</v>
      </c>
      <c r="D39" s="17" t="s">
        <v>125</v>
      </c>
      <c r="E39" s="18">
        <v>5</v>
      </c>
      <c r="F39" s="9">
        <v>0</v>
      </c>
      <c r="G39" s="9">
        <v>0</v>
      </c>
      <c r="H39" s="9">
        <v>0</v>
      </c>
      <c r="I39" s="9">
        <v>1</v>
      </c>
      <c r="J39" s="9">
        <v>3</v>
      </c>
      <c r="K39" s="9">
        <v>1</v>
      </c>
      <c r="L39" s="9">
        <v>0</v>
      </c>
      <c r="M39" s="9">
        <v>0</v>
      </c>
      <c r="N39" s="9"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8" x14ac:dyDescent="0.35">
      <c r="A40" s="1"/>
      <c r="B40" s="16" t="s">
        <v>126</v>
      </c>
      <c r="C40" s="17" t="s">
        <v>127</v>
      </c>
      <c r="D40" s="17" t="s">
        <v>128</v>
      </c>
      <c r="E40" s="18">
        <v>4</v>
      </c>
      <c r="F40" s="9">
        <v>0</v>
      </c>
      <c r="G40" s="9">
        <v>2</v>
      </c>
      <c r="H40" s="9">
        <v>1</v>
      </c>
      <c r="I40" s="9">
        <v>0</v>
      </c>
      <c r="J40" s="9">
        <v>1</v>
      </c>
      <c r="K40" s="9">
        <v>0</v>
      </c>
      <c r="L40" s="9">
        <v>0</v>
      </c>
      <c r="M40" s="9">
        <v>0</v>
      </c>
      <c r="N40" s="9"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8" x14ac:dyDescent="0.35">
      <c r="A41" s="1"/>
      <c r="B41" s="16" t="s">
        <v>129</v>
      </c>
      <c r="C41" s="17" t="s">
        <v>130</v>
      </c>
      <c r="D41" s="17" t="s">
        <v>131</v>
      </c>
      <c r="E41" s="18">
        <v>4</v>
      </c>
      <c r="F41" s="9">
        <v>0</v>
      </c>
      <c r="G41" s="9">
        <v>0</v>
      </c>
      <c r="H41" s="9">
        <v>0</v>
      </c>
      <c r="I41" s="9">
        <v>1</v>
      </c>
      <c r="J41" s="9">
        <v>2</v>
      </c>
      <c r="K41" s="9">
        <v>1</v>
      </c>
      <c r="L41" s="9">
        <v>0</v>
      </c>
      <c r="M41" s="9">
        <v>0</v>
      </c>
      <c r="N41" s="9"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8" x14ac:dyDescent="0.35">
      <c r="A42" s="1"/>
      <c r="B42" s="16" t="s">
        <v>132</v>
      </c>
      <c r="C42" s="17" t="s">
        <v>133</v>
      </c>
      <c r="D42" s="17" t="s">
        <v>134</v>
      </c>
      <c r="E42" s="18">
        <v>4</v>
      </c>
      <c r="F42" s="9">
        <v>0</v>
      </c>
      <c r="G42" s="9">
        <v>0</v>
      </c>
      <c r="H42" s="9">
        <v>0</v>
      </c>
      <c r="I42" s="9">
        <v>1</v>
      </c>
      <c r="J42" s="9">
        <v>3</v>
      </c>
      <c r="K42" s="9">
        <v>0</v>
      </c>
      <c r="L42" s="9">
        <v>0</v>
      </c>
      <c r="M42" s="9">
        <v>0</v>
      </c>
      <c r="N42" s="9"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8" x14ac:dyDescent="0.35">
      <c r="A43" s="1"/>
      <c r="B43" s="16" t="s">
        <v>135</v>
      </c>
      <c r="C43" s="17" t="s">
        <v>136</v>
      </c>
      <c r="D43" s="17" t="s">
        <v>137</v>
      </c>
      <c r="E43" s="18">
        <v>3</v>
      </c>
      <c r="F43" s="9">
        <v>1</v>
      </c>
      <c r="G43" s="9">
        <v>0</v>
      </c>
      <c r="H43" s="9">
        <v>0</v>
      </c>
      <c r="I43" s="9">
        <v>1</v>
      </c>
      <c r="J43" s="9">
        <v>1</v>
      </c>
      <c r="K43" s="9">
        <v>0</v>
      </c>
      <c r="L43" s="9">
        <v>0</v>
      </c>
      <c r="M43" s="9">
        <v>0</v>
      </c>
      <c r="N43" s="9"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8" x14ac:dyDescent="0.35">
      <c r="A44" s="1"/>
      <c r="B44" s="16" t="s">
        <v>138</v>
      </c>
      <c r="C44" s="17" t="s">
        <v>139</v>
      </c>
      <c r="D44" s="17" t="s">
        <v>140</v>
      </c>
      <c r="E44" s="18">
        <v>3</v>
      </c>
      <c r="F44" s="9">
        <v>0</v>
      </c>
      <c r="G44" s="9">
        <v>1</v>
      </c>
      <c r="H44" s="9">
        <v>0</v>
      </c>
      <c r="I44" s="9">
        <v>0</v>
      </c>
      <c r="J44" s="9">
        <v>0</v>
      </c>
      <c r="K44" s="9">
        <v>1</v>
      </c>
      <c r="L44" s="9">
        <v>1</v>
      </c>
      <c r="M44" s="9">
        <v>0</v>
      </c>
      <c r="N44" s="9"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8" x14ac:dyDescent="0.35">
      <c r="A45" s="1"/>
      <c r="B45" s="16" t="s">
        <v>141</v>
      </c>
      <c r="C45" s="17" t="s">
        <v>142</v>
      </c>
      <c r="D45" s="17" t="s">
        <v>143</v>
      </c>
      <c r="E45" s="18">
        <v>3</v>
      </c>
      <c r="F45" s="9">
        <v>0</v>
      </c>
      <c r="G45" s="9">
        <v>0</v>
      </c>
      <c r="H45" s="9">
        <v>0</v>
      </c>
      <c r="I45" s="9">
        <v>1</v>
      </c>
      <c r="J45" s="9">
        <v>2</v>
      </c>
      <c r="K45" s="9">
        <v>0</v>
      </c>
      <c r="L45" s="9">
        <v>0</v>
      </c>
      <c r="M45" s="9">
        <v>0</v>
      </c>
      <c r="N45" s="9"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8" x14ac:dyDescent="0.35">
      <c r="A46" s="1"/>
      <c r="B46" s="16" t="s">
        <v>144</v>
      </c>
      <c r="C46" s="17" t="s">
        <v>145</v>
      </c>
      <c r="D46" s="17" t="s">
        <v>146</v>
      </c>
      <c r="E46" s="18">
        <v>3</v>
      </c>
      <c r="F46" s="9">
        <v>0</v>
      </c>
      <c r="G46" s="9">
        <v>0</v>
      </c>
      <c r="H46" s="9">
        <v>0</v>
      </c>
      <c r="I46" s="9">
        <v>1</v>
      </c>
      <c r="J46" s="9">
        <v>2</v>
      </c>
      <c r="K46" s="9">
        <v>0</v>
      </c>
      <c r="L46" s="9">
        <v>0</v>
      </c>
      <c r="M46" s="9">
        <v>0</v>
      </c>
      <c r="N46" s="9"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8" x14ac:dyDescent="0.35">
      <c r="A47" s="1"/>
      <c r="B47" s="16" t="s">
        <v>147</v>
      </c>
      <c r="C47" s="17" t="s">
        <v>148</v>
      </c>
      <c r="D47" s="17" t="s">
        <v>149</v>
      </c>
      <c r="E47" s="18">
        <v>3</v>
      </c>
      <c r="F47" s="9">
        <v>0</v>
      </c>
      <c r="G47" s="9">
        <v>0</v>
      </c>
      <c r="H47" s="9">
        <v>0</v>
      </c>
      <c r="I47" s="9">
        <v>0</v>
      </c>
      <c r="J47" s="9">
        <v>2</v>
      </c>
      <c r="K47" s="9">
        <v>0</v>
      </c>
      <c r="L47" s="9">
        <v>1</v>
      </c>
      <c r="M47" s="9">
        <v>0</v>
      </c>
      <c r="N47" s="9"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8" x14ac:dyDescent="0.35">
      <c r="A48" s="1"/>
      <c r="B48" s="16" t="s">
        <v>150</v>
      </c>
      <c r="C48" s="17" t="s">
        <v>151</v>
      </c>
      <c r="D48" s="17" t="s">
        <v>152</v>
      </c>
      <c r="E48" s="18">
        <v>2</v>
      </c>
      <c r="F48" s="9">
        <v>0</v>
      </c>
      <c r="G48" s="9">
        <v>0</v>
      </c>
      <c r="H48" s="9">
        <v>0</v>
      </c>
      <c r="I48" s="9">
        <v>0</v>
      </c>
      <c r="J48" s="9">
        <v>1</v>
      </c>
      <c r="K48" s="9">
        <v>1</v>
      </c>
      <c r="L48" s="9">
        <v>0</v>
      </c>
      <c r="M48" s="9">
        <v>0</v>
      </c>
      <c r="N48" s="9">
        <v>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8" x14ac:dyDescent="0.35">
      <c r="A49" s="1"/>
      <c r="B49" s="16" t="s">
        <v>153</v>
      </c>
      <c r="C49" s="17" t="s">
        <v>154</v>
      </c>
      <c r="D49" s="17" t="s">
        <v>155</v>
      </c>
      <c r="E49" s="18">
        <v>1</v>
      </c>
      <c r="F49" s="9">
        <v>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8" x14ac:dyDescent="0.35">
      <c r="A50" s="1"/>
      <c r="B50" s="16" t="s">
        <v>156</v>
      </c>
      <c r="C50" s="17" t="s">
        <v>157</v>
      </c>
      <c r="D50" s="17" t="s">
        <v>158</v>
      </c>
      <c r="E50" s="18">
        <v>1</v>
      </c>
      <c r="F50" s="9">
        <v>1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8" x14ac:dyDescent="0.35">
      <c r="A51" s="1"/>
      <c r="B51" s="16" t="s">
        <v>159</v>
      </c>
      <c r="C51" s="17" t="s">
        <v>160</v>
      </c>
      <c r="D51" s="17" t="s">
        <v>161</v>
      </c>
      <c r="E51" s="18">
        <v>1</v>
      </c>
      <c r="F51" s="9">
        <v>0</v>
      </c>
      <c r="G51" s="9">
        <v>0</v>
      </c>
      <c r="H51" s="9">
        <v>0</v>
      </c>
      <c r="I51" s="9">
        <v>0</v>
      </c>
      <c r="J51" s="9">
        <v>1</v>
      </c>
      <c r="K51" s="9">
        <v>0</v>
      </c>
      <c r="L51" s="9">
        <v>0</v>
      </c>
      <c r="M51" s="9">
        <v>0</v>
      </c>
      <c r="N51" s="9"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8" x14ac:dyDescent="0.35">
      <c r="A52" s="1"/>
      <c r="B52" s="16" t="s">
        <v>162</v>
      </c>
      <c r="C52" s="17" t="s">
        <v>163</v>
      </c>
      <c r="D52" s="17" t="s">
        <v>164</v>
      </c>
      <c r="E52" s="18">
        <v>1</v>
      </c>
      <c r="F52" s="9">
        <v>0</v>
      </c>
      <c r="G52" s="9">
        <v>0</v>
      </c>
      <c r="H52" s="9">
        <v>0</v>
      </c>
      <c r="I52" s="9">
        <v>0</v>
      </c>
      <c r="J52" s="9">
        <v>1</v>
      </c>
      <c r="K52" s="9">
        <v>0</v>
      </c>
      <c r="L52" s="9">
        <v>0</v>
      </c>
      <c r="M52" s="9">
        <v>0</v>
      </c>
      <c r="N52" s="9">
        <v>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8" x14ac:dyDescent="0.35">
      <c r="A53" s="1"/>
      <c r="B53" s="16" t="s">
        <v>165</v>
      </c>
      <c r="C53" s="17" t="s">
        <v>166</v>
      </c>
      <c r="D53" s="17" t="s">
        <v>167</v>
      </c>
      <c r="E53" s="18">
        <v>1</v>
      </c>
      <c r="F53" s="9">
        <v>0</v>
      </c>
      <c r="G53" s="9">
        <v>0</v>
      </c>
      <c r="H53" s="9">
        <v>0</v>
      </c>
      <c r="I53" s="9">
        <v>0</v>
      </c>
      <c r="J53" s="9">
        <v>1</v>
      </c>
      <c r="K53" s="9">
        <v>0</v>
      </c>
      <c r="L53" s="9">
        <v>0</v>
      </c>
      <c r="M53" s="9">
        <v>0</v>
      </c>
      <c r="N53" s="9">
        <v>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8" x14ac:dyDescent="0.35">
      <c r="A54" s="1"/>
      <c r="B54" s="19"/>
      <c r="C54" s="20"/>
      <c r="D54" s="20"/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8" x14ac:dyDescent="0.35">
      <c r="A55" s="1"/>
      <c r="B55" s="19"/>
      <c r="C55" s="20"/>
      <c r="D55" s="20"/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8" x14ac:dyDescent="0.35">
      <c r="A56" s="1"/>
      <c r="B56" s="19"/>
      <c r="C56" s="20"/>
      <c r="D56" s="20"/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8" x14ac:dyDescent="0.35">
      <c r="A57" s="1"/>
      <c r="B57" s="19"/>
      <c r="C57" s="20"/>
      <c r="D57" s="20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8" x14ac:dyDescent="0.35">
      <c r="A58" s="1"/>
      <c r="B58" s="19"/>
      <c r="C58" s="20"/>
      <c r="D58" s="20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8" x14ac:dyDescent="0.35">
      <c r="A59" s="1"/>
      <c r="B59" s="19"/>
      <c r="C59" s="20"/>
      <c r="D59" s="20"/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8" x14ac:dyDescent="0.35">
      <c r="A60" s="1"/>
      <c r="B60" s="19"/>
      <c r="C60" s="20"/>
      <c r="D60" s="20"/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8" x14ac:dyDescent="0.35">
      <c r="A61" s="1"/>
      <c r="B61" s="19"/>
      <c r="C61" s="20"/>
      <c r="D61" s="20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8" x14ac:dyDescent="0.35">
      <c r="A62" s="1"/>
      <c r="B62" s="19"/>
      <c r="C62" s="20"/>
      <c r="D62" s="20"/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8" x14ac:dyDescent="0.35">
      <c r="A63" s="1"/>
      <c r="B63" s="19"/>
      <c r="C63" s="20"/>
      <c r="D63" s="20"/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8" x14ac:dyDescent="0.35">
      <c r="A64" s="1"/>
      <c r="B64" s="19"/>
      <c r="C64" s="20"/>
      <c r="D64" s="20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8" x14ac:dyDescent="0.35">
      <c r="A65" s="1"/>
      <c r="B65" s="19"/>
      <c r="C65" s="20"/>
      <c r="D65" s="20"/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8" x14ac:dyDescent="0.35">
      <c r="A66" s="1"/>
      <c r="B66" s="19"/>
      <c r="C66" s="20"/>
      <c r="D66" s="20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8" x14ac:dyDescent="0.35">
      <c r="A67" s="1"/>
      <c r="B67" s="19"/>
      <c r="C67" s="20"/>
      <c r="D67" s="20"/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8" x14ac:dyDescent="0.35">
      <c r="A68" s="1"/>
      <c r="B68" s="19"/>
      <c r="C68" s="20"/>
      <c r="D68" s="20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8" x14ac:dyDescent="0.35">
      <c r="A69" s="1"/>
      <c r="B69" s="19"/>
      <c r="C69" s="20"/>
      <c r="D69" s="20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8" x14ac:dyDescent="0.35">
      <c r="A70" s="1"/>
      <c r="B70" s="19"/>
      <c r="C70" s="20"/>
      <c r="D70" s="20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8" x14ac:dyDescent="0.35">
      <c r="A71" s="1"/>
      <c r="B71" s="19"/>
      <c r="C71" s="20"/>
      <c r="D71" s="20"/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8" x14ac:dyDescent="0.35">
      <c r="A72" s="1"/>
      <c r="B72" s="19"/>
      <c r="C72" s="20"/>
      <c r="D72" s="20"/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8" x14ac:dyDescent="0.35">
      <c r="A73" s="1"/>
      <c r="B73" s="19"/>
      <c r="C73" s="20"/>
      <c r="D73" s="20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8" x14ac:dyDescent="0.35">
      <c r="A74" s="1"/>
      <c r="B74" s="19"/>
      <c r="C74" s="20"/>
      <c r="D74" s="20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8" x14ac:dyDescent="0.35">
      <c r="A75" s="1"/>
      <c r="B75" s="19"/>
      <c r="C75" s="20"/>
      <c r="D75" s="20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8" x14ac:dyDescent="0.35">
      <c r="A76" s="1"/>
      <c r="B76" s="19"/>
      <c r="C76" s="20"/>
      <c r="D76" s="20"/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8" x14ac:dyDescent="0.35">
      <c r="A77" s="1"/>
      <c r="B77" s="19"/>
      <c r="C77" s="20"/>
      <c r="D77" s="20"/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8" x14ac:dyDescent="0.35">
      <c r="A78" s="1"/>
      <c r="B78" s="19"/>
      <c r="C78" s="20"/>
      <c r="D78" s="20"/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8" x14ac:dyDescent="0.35">
      <c r="A79" s="1"/>
      <c r="B79" s="19"/>
      <c r="C79" s="20"/>
      <c r="D79" s="20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8" x14ac:dyDescent="0.35">
      <c r="A80" s="1"/>
      <c r="B80" s="19"/>
      <c r="C80" s="20"/>
      <c r="D80" s="20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8" x14ac:dyDescent="0.35">
      <c r="A81" s="1"/>
      <c r="B81" s="19"/>
      <c r="C81" s="20"/>
      <c r="D81" s="20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8" x14ac:dyDescent="0.35">
      <c r="A82" s="1"/>
      <c r="B82" s="19"/>
      <c r="C82" s="20"/>
      <c r="D82" s="20"/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8" x14ac:dyDescent="0.35">
      <c r="A83" s="1"/>
      <c r="B83" s="19"/>
      <c r="C83" s="20"/>
      <c r="D83" s="20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8" x14ac:dyDescent="0.35">
      <c r="A84" s="1"/>
      <c r="B84" s="19"/>
      <c r="C84" s="20"/>
      <c r="D84" s="20"/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8" x14ac:dyDescent="0.35">
      <c r="A85" s="1"/>
      <c r="B85" s="19"/>
      <c r="C85" s="20"/>
      <c r="D85" s="20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8" x14ac:dyDescent="0.35">
      <c r="A86" s="1"/>
      <c r="B86" s="19"/>
      <c r="C86" s="20"/>
      <c r="D86" s="20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8" x14ac:dyDescent="0.35">
      <c r="A87" s="1"/>
      <c r="B87" s="19"/>
      <c r="C87" s="20"/>
      <c r="D87" s="20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8" x14ac:dyDescent="0.35">
      <c r="A88" s="1"/>
      <c r="B88" s="19"/>
      <c r="C88" s="20"/>
      <c r="D88" s="20"/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8" x14ac:dyDescent="0.35">
      <c r="A89" s="1"/>
      <c r="B89" s="19"/>
      <c r="C89" s="20"/>
      <c r="D89" s="20"/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8" x14ac:dyDescent="0.35">
      <c r="A90" s="1"/>
      <c r="B90" s="19"/>
      <c r="C90" s="20"/>
      <c r="D90" s="20"/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8" x14ac:dyDescent="0.35">
      <c r="A91" s="1"/>
      <c r="B91" s="19"/>
      <c r="C91" s="20"/>
      <c r="D91" s="20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8" x14ac:dyDescent="0.35">
      <c r="A92" s="1"/>
      <c r="B92" s="19"/>
      <c r="C92" s="20"/>
      <c r="D92" s="20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8" x14ac:dyDescent="0.35">
      <c r="A93" s="1"/>
      <c r="B93" s="19"/>
      <c r="C93" s="20"/>
      <c r="D93" s="20"/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8" x14ac:dyDescent="0.35">
      <c r="A94" s="1"/>
      <c r="B94" s="19"/>
      <c r="C94" s="20"/>
      <c r="D94" s="20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8" x14ac:dyDescent="0.35">
      <c r="A95" s="1"/>
      <c r="B95" s="19"/>
      <c r="C95" s="20"/>
      <c r="D95" s="20"/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8" x14ac:dyDescent="0.35">
      <c r="A96" s="1"/>
      <c r="B96" s="19"/>
      <c r="C96" s="20"/>
      <c r="D96" s="20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8" x14ac:dyDescent="0.35">
      <c r="A97" s="1"/>
      <c r="B97" s="19"/>
      <c r="C97" s="20"/>
      <c r="D97" s="20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8" x14ac:dyDescent="0.35">
      <c r="A98" s="1"/>
      <c r="B98" s="19"/>
      <c r="C98" s="20"/>
      <c r="D98" s="20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8" x14ac:dyDescent="0.35">
      <c r="A99" s="1"/>
      <c r="B99" s="19"/>
      <c r="C99" s="20"/>
      <c r="D99" s="20"/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8" x14ac:dyDescent="0.35">
      <c r="A100" s="1"/>
      <c r="B100" s="19"/>
      <c r="C100" s="20"/>
      <c r="D100" s="20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8" x14ac:dyDescent="0.35">
      <c r="A101" s="1"/>
      <c r="B101" s="19"/>
      <c r="C101" s="20"/>
      <c r="D101" s="20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8" x14ac:dyDescent="0.35">
      <c r="A102" s="1"/>
      <c r="B102" s="19"/>
      <c r="C102" s="20"/>
      <c r="D102" s="20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8" x14ac:dyDescent="0.35">
      <c r="A103" s="1"/>
      <c r="B103" s="19"/>
      <c r="C103" s="20"/>
      <c r="D103" s="20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8" x14ac:dyDescent="0.35">
      <c r="A104" s="1"/>
      <c r="B104" s="19"/>
      <c r="C104" s="20"/>
      <c r="D104" s="20"/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8" x14ac:dyDescent="0.35">
      <c r="A105" s="1"/>
      <c r="B105" s="19"/>
      <c r="C105" s="20"/>
      <c r="D105" s="20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8" x14ac:dyDescent="0.35">
      <c r="A106" s="1"/>
      <c r="B106" s="19"/>
      <c r="C106" s="20"/>
      <c r="D106" s="20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8" x14ac:dyDescent="0.35">
      <c r="A107" s="1"/>
      <c r="B107" s="19"/>
      <c r="C107" s="20"/>
      <c r="D107" s="20"/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8" x14ac:dyDescent="0.35">
      <c r="A108" s="1"/>
      <c r="B108" s="19"/>
      <c r="C108" s="20"/>
      <c r="D108" s="20"/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8" x14ac:dyDescent="0.35">
      <c r="A109" s="1"/>
      <c r="B109" s="19"/>
      <c r="C109" s="20"/>
      <c r="D109" s="20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8" x14ac:dyDescent="0.35">
      <c r="A110" s="1"/>
      <c r="B110" s="19"/>
      <c r="C110" s="20"/>
      <c r="D110" s="20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8" x14ac:dyDescent="0.35">
      <c r="A111" s="1"/>
      <c r="B111" s="19"/>
      <c r="C111" s="20"/>
      <c r="D111" s="20"/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8" x14ac:dyDescent="0.35">
      <c r="A112" s="1"/>
      <c r="B112" s="19"/>
      <c r="C112" s="20"/>
      <c r="D112" s="20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8" x14ac:dyDescent="0.35">
      <c r="A113" s="1"/>
      <c r="B113" s="19"/>
      <c r="C113" s="20"/>
      <c r="D113" s="20"/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8" x14ac:dyDescent="0.35">
      <c r="A114" s="1"/>
      <c r="B114" s="19"/>
      <c r="C114" s="20"/>
      <c r="D114" s="20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8" x14ac:dyDescent="0.35">
      <c r="A115" s="1"/>
      <c r="B115" s="19"/>
      <c r="C115" s="20"/>
      <c r="D115" s="20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8" x14ac:dyDescent="0.35">
      <c r="A116" s="1"/>
      <c r="B116" s="19"/>
      <c r="C116" s="20"/>
      <c r="D116" s="20"/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8" x14ac:dyDescent="0.35">
      <c r="A117" s="1"/>
      <c r="B117" s="19"/>
      <c r="C117" s="20"/>
      <c r="D117" s="20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8" x14ac:dyDescent="0.35">
      <c r="A118" s="1"/>
      <c r="B118" s="19"/>
      <c r="C118" s="20"/>
      <c r="D118" s="20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8" x14ac:dyDescent="0.35">
      <c r="A119" s="1"/>
      <c r="B119" s="19"/>
      <c r="C119" s="20"/>
      <c r="D119" s="20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8" x14ac:dyDescent="0.35">
      <c r="A120" s="1"/>
      <c r="B120" s="19"/>
      <c r="C120" s="20"/>
      <c r="D120" s="20"/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8" x14ac:dyDescent="0.35">
      <c r="A121" s="1"/>
      <c r="B121" s="19"/>
      <c r="C121" s="20"/>
      <c r="D121" s="20"/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8" x14ac:dyDescent="0.35">
      <c r="A122" s="1"/>
      <c r="B122" s="19"/>
      <c r="C122" s="20"/>
      <c r="D122" s="20"/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8" x14ac:dyDescent="0.35">
      <c r="A123" s="1"/>
      <c r="B123" s="19"/>
      <c r="C123" s="20"/>
      <c r="D123" s="20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8" x14ac:dyDescent="0.35">
      <c r="A124" s="1"/>
      <c r="B124" s="19"/>
      <c r="C124" s="20"/>
      <c r="D124" s="20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8" x14ac:dyDescent="0.35">
      <c r="A125" s="1"/>
      <c r="B125" s="19"/>
      <c r="C125" s="20"/>
      <c r="D125" s="20"/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8" x14ac:dyDescent="0.35">
      <c r="A126" s="1"/>
      <c r="B126" s="19"/>
      <c r="C126" s="20"/>
      <c r="D126" s="20"/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8" x14ac:dyDescent="0.35">
      <c r="A127" s="1"/>
      <c r="B127" s="19"/>
      <c r="C127" s="20"/>
      <c r="D127" s="20"/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8" x14ac:dyDescent="0.35">
      <c r="A128" s="1"/>
      <c r="B128" s="19"/>
      <c r="C128" s="20"/>
      <c r="D128" s="20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8" x14ac:dyDescent="0.35">
      <c r="A129" s="1"/>
      <c r="B129" s="19"/>
      <c r="C129" s="20"/>
      <c r="D129" s="20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8" x14ac:dyDescent="0.35">
      <c r="A130" s="1"/>
      <c r="B130" s="19"/>
      <c r="C130" s="20"/>
      <c r="D130" s="20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8" x14ac:dyDescent="0.35">
      <c r="A131" s="1"/>
      <c r="B131" s="19"/>
      <c r="C131" s="20"/>
      <c r="D131" s="20"/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8" x14ac:dyDescent="0.35">
      <c r="A132" s="1"/>
      <c r="B132" s="19"/>
      <c r="C132" s="20"/>
      <c r="D132" s="20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8" x14ac:dyDescent="0.35">
      <c r="A133" s="1"/>
      <c r="B133" s="19"/>
      <c r="C133" s="20"/>
      <c r="D133" s="20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8" x14ac:dyDescent="0.35">
      <c r="A134" s="1"/>
      <c r="B134" s="19"/>
      <c r="C134" s="20"/>
      <c r="D134" s="20"/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8" x14ac:dyDescent="0.35">
      <c r="A135" s="1"/>
      <c r="B135" s="19"/>
      <c r="C135" s="20"/>
      <c r="D135" s="20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8" x14ac:dyDescent="0.35">
      <c r="A136" s="1"/>
      <c r="B136" s="19"/>
      <c r="C136" s="20"/>
      <c r="D136" s="20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8" x14ac:dyDescent="0.35">
      <c r="A137" s="1"/>
      <c r="B137" s="19"/>
      <c r="C137" s="20"/>
      <c r="D137" s="20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8" x14ac:dyDescent="0.35">
      <c r="A138" s="1"/>
      <c r="B138" s="19"/>
      <c r="C138" s="20"/>
      <c r="D138" s="20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8" x14ac:dyDescent="0.35">
      <c r="A139" s="1"/>
      <c r="B139" s="19"/>
      <c r="C139" s="20"/>
      <c r="D139" s="20"/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8" x14ac:dyDescent="0.35">
      <c r="A140" s="1"/>
      <c r="B140" s="19"/>
      <c r="C140" s="20"/>
      <c r="D140" s="20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8" x14ac:dyDescent="0.35">
      <c r="A141" s="1"/>
      <c r="B141" s="19"/>
      <c r="C141" s="20"/>
      <c r="D141" s="20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8" x14ac:dyDescent="0.35">
      <c r="A142" s="1"/>
      <c r="B142" s="19"/>
      <c r="C142" s="20"/>
      <c r="D142" s="20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8" x14ac:dyDescent="0.35">
      <c r="A143" s="1"/>
      <c r="B143" s="19"/>
      <c r="C143" s="20"/>
      <c r="D143" s="20"/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8" x14ac:dyDescent="0.35">
      <c r="A144" s="1"/>
      <c r="B144" s="19"/>
      <c r="C144" s="20"/>
      <c r="D144" s="20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8" x14ac:dyDescent="0.35">
      <c r="A145" s="1"/>
      <c r="B145" s="19"/>
      <c r="C145" s="20"/>
      <c r="D145" s="20"/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8" x14ac:dyDescent="0.35">
      <c r="A146" s="1"/>
      <c r="B146" s="19"/>
      <c r="C146" s="20"/>
      <c r="D146" s="20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8" x14ac:dyDescent="0.35">
      <c r="A147" s="1"/>
      <c r="B147" s="19"/>
      <c r="C147" s="20"/>
      <c r="D147" s="20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8" x14ac:dyDescent="0.35">
      <c r="A148" s="1"/>
      <c r="B148" s="19"/>
      <c r="C148" s="20"/>
      <c r="D148" s="20"/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8" x14ac:dyDescent="0.35">
      <c r="A149" s="1"/>
      <c r="B149" s="19"/>
      <c r="C149" s="20"/>
      <c r="D149" s="20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8" x14ac:dyDescent="0.35">
      <c r="A150" s="1"/>
      <c r="B150" s="19"/>
      <c r="C150" s="20"/>
      <c r="D150" s="20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8" x14ac:dyDescent="0.35">
      <c r="A151" s="1"/>
      <c r="B151" s="19"/>
      <c r="C151" s="20"/>
      <c r="D151" s="20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8" x14ac:dyDescent="0.35">
      <c r="A152" s="1"/>
      <c r="B152" s="19"/>
      <c r="C152" s="20"/>
      <c r="D152" s="20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8" x14ac:dyDescent="0.35">
      <c r="A153" s="1"/>
      <c r="B153" s="19"/>
      <c r="C153" s="20"/>
      <c r="D153" s="20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8" x14ac:dyDescent="0.35">
      <c r="A154" s="1"/>
      <c r="B154" s="19"/>
      <c r="C154" s="20"/>
      <c r="D154" s="20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8" x14ac:dyDescent="0.35">
      <c r="A155" s="1"/>
      <c r="B155" s="19"/>
      <c r="C155" s="20"/>
      <c r="D155" s="20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8" x14ac:dyDescent="0.35">
      <c r="A156" s="1"/>
      <c r="B156" s="19"/>
      <c r="C156" s="20"/>
      <c r="D156" s="20"/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8" x14ac:dyDescent="0.35">
      <c r="A157" s="1"/>
      <c r="B157" s="19"/>
      <c r="C157" s="20"/>
      <c r="D157" s="20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8" x14ac:dyDescent="0.35">
      <c r="A158" s="1"/>
      <c r="B158" s="19"/>
      <c r="C158" s="20"/>
      <c r="D158" s="20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8" x14ac:dyDescent="0.35">
      <c r="A159" s="1"/>
      <c r="B159" s="19"/>
      <c r="C159" s="20"/>
      <c r="D159" s="20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8" x14ac:dyDescent="0.35">
      <c r="A160" s="1"/>
      <c r="B160" s="19"/>
      <c r="C160" s="20"/>
      <c r="D160" s="20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8" x14ac:dyDescent="0.35">
      <c r="A161" s="1"/>
      <c r="B161" s="19"/>
      <c r="C161" s="20"/>
      <c r="D161" s="20"/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8" x14ac:dyDescent="0.35">
      <c r="A162" s="1"/>
      <c r="B162" s="19"/>
      <c r="C162" s="20"/>
      <c r="D162" s="20"/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8" x14ac:dyDescent="0.35">
      <c r="A163" s="1"/>
      <c r="B163" s="19"/>
      <c r="C163" s="20"/>
      <c r="D163" s="20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8" x14ac:dyDescent="0.35">
      <c r="A164" s="1"/>
      <c r="B164" s="19"/>
      <c r="C164" s="20"/>
      <c r="D164" s="20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8" x14ac:dyDescent="0.35">
      <c r="A165" s="1"/>
      <c r="B165" s="19"/>
      <c r="C165" s="20"/>
      <c r="D165" s="20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8" x14ac:dyDescent="0.35">
      <c r="A166" s="1"/>
      <c r="B166" s="19"/>
      <c r="C166" s="20"/>
      <c r="D166" s="20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8" x14ac:dyDescent="0.35">
      <c r="A167" s="1"/>
      <c r="B167" s="19"/>
      <c r="C167" s="20"/>
      <c r="D167" s="20"/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8" x14ac:dyDescent="0.35">
      <c r="A168" s="1"/>
      <c r="B168" s="19"/>
      <c r="C168" s="20"/>
      <c r="D168" s="20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8" x14ac:dyDescent="0.35">
      <c r="A169" s="1"/>
      <c r="B169" s="19"/>
      <c r="C169" s="20"/>
      <c r="D169" s="20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8" x14ac:dyDescent="0.35">
      <c r="A170" s="1"/>
      <c r="B170" s="19"/>
      <c r="C170" s="20"/>
      <c r="D170" s="20"/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8" x14ac:dyDescent="0.35">
      <c r="A171" s="1"/>
      <c r="B171" s="19"/>
      <c r="C171" s="20"/>
      <c r="D171" s="20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8" x14ac:dyDescent="0.35">
      <c r="A172" s="1"/>
      <c r="B172" s="19"/>
      <c r="C172" s="20"/>
      <c r="D172" s="20"/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8" x14ac:dyDescent="0.35">
      <c r="A173" s="1"/>
      <c r="B173" s="19"/>
      <c r="C173" s="20"/>
      <c r="D173" s="20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8" x14ac:dyDescent="0.35">
      <c r="A174" s="1"/>
      <c r="B174" s="19"/>
      <c r="C174" s="20"/>
      <c r="D174" s="20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8" x14ac:dyDescent="0.35">
      <c r="A175" s="1"/>
      <c r="B175" s="19"/>
      <c r="C175" s="20"/>
      <c r="D175" s="20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8" x14ac:dyDescent="0.35">
      <c r="A176" s="1"/>
      <c r="B176" s="19"/>
      <c r="C176" s="20"/>
      <c r="D176" s="20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8" x14ac:dyDescent="0.35">
      <c r="A177" s="1"/>
      <c r="B177" s="19"/>
      <c r="C177" s="20"/>
      <c r="D177" s="20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8" x14ac:dyDescent="0.35">
      <c r="A178" s="1"/>
      <c r="B178" s="19"/>
      <c r="C178" s="20"/>
      <c r="D178" s="20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8" x14ac:dyDescent="0.35">
      <c r="A179" s="1"/>
      <c r="B179" s="19"/>
      <c r="C179" s="20"/>
      <c r="D179" s="20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8" x14ac:dyDescent="0.35">
      <c r="A180" s="1"/>
      <c r="B180" s="19"/>
      <c r="C180" s="20"/>
      <c r="D180" s="20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8" x14ac:dyDescent="0.35">
      <c r="A181" s="1"/>
      <c r="B181" s="19"/>
      <c r="C181" s="20"/>
      <c r="D181" s="20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8" x14ac:dyDescent="0.35">
      <c r="A182" s="1"/>
      <c r="B182" s="19"/>
      <c r="C182" s="20"/>
      <c r="D182" s="20"/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8" x14ac:dyDescent="0.35">
      <c r="A183" s="1"/>
      <c r="B183" s="19"/>
      <c r="C183" s="20"/>
      <c r="D183" s="20"/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8" x14ac:dyDescent="0.35">
      <c r="A184" s="1"/>
      <c r="B184" s="19"/>
      <c r="C184" s="20"/>
      <c r="D184" s="20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8" x14ac:dyDescent="0.35">
      <c r="A185" s="1"/>
      <c r="B185" s="19"/>
      <c r="C185" s="20"/>
      <c r="D185" s="20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8" x14ac:dyDescent="0.35">
      <c r="A186" s="1"/>
      <c r="B186" s="19"/>
      <c r="C186" s="20"/>
      <c r="D186" s="20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8" x14ac:dyDescent="0.35">
      <c r="A187" s="1"/>
      <c r="B187" s="19"/>
      <c r="C187" s="20"/>
      <c r="D187" s="20"/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8" x14ac:dyDescent="0.35">
      <c r="A188" s="1"/>
      <c r="B188" s="19"/>
      <c r="C188" s="20"/>
      <c r="D188" s="20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8" x14ac:dyDescent="0.35">
      <c r="A189" s="1"/>
      <c r="B189" s="19"/>
      <c r="C189" s="20"/>
      <c r="D189" s="20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8" x14ac:dyDescent="0.35">
      <c r="A190" s="1"/>
      <c r="B190" s="19"/>
      <c r="C190" s="20"/>
      <c r="D190" s="20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8" x14ac:dyDescent="0.35">
      <c r="A191" s="1"/>
      <c r="B191" s="19"/>
      <c r="C191" s="20"/>
      <c r="D191" s="20"/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8" x14ac:dyDescent="0.35">
      <c r="A192" s="1"/>
      <c r="B192" s="19"/>
      <c r="C192" s="20"/>
      <c r="D192" s="20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8" x14ac:dyDescent="0.35">
      <c r="A193" s="1"/>
      <c r="B193" s="19"/>
      <c r="C193" s="20"/>
      <c r="D193" s="20"/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8" x14ac:dyDescent="0.35">
      <c r="A194" s="1"/>
      <c r="B194" s="19"/>
      <c r="C194" s="20"/>
      <c r="D194" s="20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8" x14ac:dyDescent="0.35">
      <c r="A195" s="1"/>
      <c r="B195" s="19"/>
      <c r="C195" s="20"/>
      <c r="D195" s="20"/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8" x14ac:dyDescent="0.35">
      <c r="A196" s="1"/>
      <c r="B196" s="19"/>
      <c r="C196" s="20"/>
      <c r="D196" s="20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8" x14ac:dyDescent="0.35">
      <c r="A197" s="1"/>
      <c r="B197" s="19"/>
      <c r="C197" s="20"/>
      <c r="D197" s="20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8" x14ac:dyDescent="0.35">
      <c r="A198" s="1"/>
      <c r="B198" s="19"/>
      <c r="C198" s="20"/>
      <c r="D198" s="20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8" x14ac:dyDescent="0.35">
      <c r="A199" s="1"/>
      <c r="B199" s="19"/>
      <c r="C199" s="20"/>
      <c r="D199" s="20"/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8" x14ac:dyDescent="0.35">
      <c r="A200" s="1"/>
      <c r="B200" s="19"/>
      <c r="C200" s="20"/>
      <c r="D200" s="20"/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8" x14ac:dyDescent="0.35">
      <c r="A201" s="1"/>
      <c r="B201" s="19"/>
      <c r="C201" s="20"/>
      <c r="D201" s="20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8" x14ac:dyDescent="0.35">
      <c r="A202" s="1"/>
      <c r="B202" s="19"/>
      <c r="C202" s="20"/>
      <c r="D202" s="20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8" x14ac:dyDescent="0.35">
      <c r="A203" s="1"/>
      <c r="B203" s="19"/>
      <c r="C203" s="20"/>
      <c r="D203" s="20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8" x14ac:dyDescent="0.35">
      <c r="A204" s="1"/>
      <c r="B204" s="19"/>
      <c r="C204" s="20"/>
      <c r="D204" s="20"/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8" x14ac:dyDescent="0.35">
      <c r="A205" s="1"/>
      <c r="B205" s="19"/>
      <c r="C205" s="20"/>
      <c r="D205" s="20"/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8" x14ac:dyDescent="0.35">
      <c r="A206" s="1"/>
      <c r="B206" s="19"/>
      <c r="C206" s="20"/>
      <c r="D206" s="20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8" x14ac:dyDescent="0.35">
      <c r="A207" s="1"/>
      <c r="B207" s="19"/>
      <c r="C207" s="20"/>
      <c r="D207" s="20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8" x14ac:dyDescent="0.35">
      <c r="A208" s="1"/>
      <c r="B208" s="19"/>
      <c r="C208" s="20"/>
      <c r="D208" s="20"/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8" x14ac:dyDescent="0.35">
      <c r="A209" s="1"/>
      <c r="B209" s="19"/>
      <c r="C209" s="20"/>
      <c r="D209" s="20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8" x14ac:dyDescent="0.35">
      <c r="A210" s="1"/>
      <c r="B210" s="19"/>
      <c r="C210" s="20"/>
      <c r="D210" s="20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8" x14ac:dyDescent="0.35">
      <c r="A211" s="1"/>
      <c r="B211" s="19"/>
      <c r="C211" s="20"/>
      <c r="D211" s="20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8" x14ac:dyDescent="0.35">
      <c r="A212" s="1"/>
      <c r="B212" s="19"/>
      <c r="C212" s="20"/>
      <c r="D212" s="20"/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8" x14ac:dyDescent="0.35">
      <c r="A213" s="1"/>
      <c r="B213" s="19"/>
      <c r="C213" s="20"/>
      <c r="D213" s="20"/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8" x14ac:dyDescent="0.35">
      <c r="A214" s="1"/>
      <c r="B214" s="19"/>
      <c r="C214" s="20"/>
      <c r="D214" s="20"/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8" x14ac:dyDescent="0.35">
      <c r="A215" s="1"/>
      <c r="B215" s="19"/>
      <c r="C215" s="20"/>
      <c r="D215" s="20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8" x14ac:dyDescent="0.35">
      <c r="A216" s="1"/>
      <c r="B216" s="19"/>
      <c r="C216" s="20"/>
      <c r="D216" s="20"/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8" x14ac:dyDescent="0.35">
      <c r="A217" s="1"/>
      <c r="B217" s="19"/>
      <c r="C217" s="20"/>
      <c r="D217" s="20"/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8" x14ac:dyDescent="0.35">
      <c r="A218" s="1"/>
      <c r="B218" s="19"/>
      <c r="C218" s="20"/>
      <c r="D218" s="20"/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8" x14ac:dyDescent="0.35">
      <c r="A219" s="1"/>
      <c r="B219" s="19"/>
      <c r="C219" s="20"/>
      <c r="D219" s="20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8" x14ac:dyDescent="0.35">
      <c r="A220" s="1"/>
      <c r="B220" s="19"/>
      <c r="C220" s="20"/>
      <c r="D220" s="20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8" x14ac:dyDescent="0.35">
      <c r="A221" s="1"/>
      <c r="B221" s="19"/>
      <c r="C221" s="20"/>
      <c r="D221" s="20"/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8" x14ac:dyDescent="0.35">
      <c r="A222" s="1"/>
      <c r="B222" s="19"/>
      <c r="C222" s="20"/>
      <c r="D222" s="20"/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8" x14ac:dyDescent="0.35">
      <c r="A223" s="1"/>
      <c r="B223" s="19"/>
      <c r="C223" s="20"/>
      <c r="D223" s="20"/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8" x14ac:dyDescent="0.35">
      <c r="A224" s="1"/>
      <c r="B224" s="19"/>
      <c r="C224" s="20"/>
      <c r="D224" s="20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8" x14ac:dyDescent="0.35">
      <c r="A225" s="1"/>
      <c r="B225" s="19"/>
      <c r="C225" s="20"/>
      <c r="D225" s="20"/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8" x14ac:dyDescent="0.35">
      <c r="A226" s="1"/>
      <c r="B226" s="19"/>
      <c r="C226" s="20"/>
      <c r="D226" s="20"/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8" x14ac:dyDescent="0.35">
      <c r="A227" s="1"/>
      <c r="B227" s="19"/>
      <c r="C227" s="20"/>
      <c r="D227" s="20"/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8" x14ac:dyDescent="0.35">
      <c r="A228" s="1"/>
      <c r="B228" s="19"/>
      <c r="C228" s="20"/>
      <c r="D228" s="20"/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8" x14ac:dyDescent="0.35">
      <c r="A229" s="1"/>
      <c r="B229" s="19"/>
      <c r="C229" s="20"/>
      <c r="D229" s="20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8" x14ac:dyDescent="0.35">
      <c r="A230" s="1"/>
      <c r="B230" s="19"/>
      <c r="C230" s="20"/>
      <c r="D230" s="20"/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8" x14ac:dyDescent="0.35">
      <c r="A231" s="1"/>
      <c r="B231" s="19"/>
      <c r="C231" s="20"/>
      <c r="D231" s="20"/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8" x14ac:dyDescent="0.35">
      <c r="A232" s="1"/>
      <c r="B232" s="19"/>
      <c r="C232" s="20"/>
      <c r="D232" s="20"/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8" x14ac:dyDescent="0.35">
      <c r="A233" s="1"/>
      <c r="B233" s="19"/>
      <c r="C233" s="20"/>
      <c r="D233" s="20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8" x14ac:dyDescent="0.35">
      <c r="A234" s="1"/>
      <c r="B234" s="19"/>
      <c r="C234" s="20"/>
      <c r="D234" s="20"/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8" x14ac:dyDescent="0.35">
      <c r="A235" s="1"/>
      <c r="B235" s="19"/>
      <c r="C235" s="20"/>
      <c r="D235" s="20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8" x14ac:dyDescent="0.35">
      <c r="A236" s="1"/>
      <c r="B236" s="19"/>
      <c r="C236" s="20"/>
      <c r="D236" s="20"/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8" x14ac:dyDescent="0.35">
      <c r="A237" s="1"/>
      <c r="B237" s="19"/>
      <c r="C237" s="20"/>
      <c r="D237" s="20"/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8" x14ac:dyDescent="0.35">
      <c r="A238" s="1"/>
      <c r="B238" s="19"/>
      <c r="C238" s="20"/>
      <c r="D238" s="20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8" x14ac:dyDescent="0.35">
      <c r="A239" s="1"/>
      <c r="B239" s="19"/>
      <c r="C239" s="20"/>
      <c r="D239" s="20"/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8" x14ac:dyDescent="0.35">
      <c r="A240" s="1"/>
      <c r="B240" s="19"/>
      <c r="C240" s="20"/>
      <c r="D240" s="20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8" x14ac:dyDescent="0.35">
      <c r="A241" s="1"/>
      <c r="B241" s="19"/>
      <c r="C241" s="20"/>
      <c r="D241" s="20"/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8" x14ac:dyDescent="0.35">
      <c r="A242" s="1"/>
      <c r="B242" s="19"/>
      <c r="C242" s="20"/>
      <c r="D242" s="20"/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8" x14ac:dyDescent="0.35">
      <c r="A243" s="1"/>
      <c r="B243" s="19"/>
      <c r="C243" s="20"/>
      <c r="D243" s="20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8" x14ac:dyDescent="0.35">
      <c r="A244" s="1"/>
      <c r="B244" s="19"/>
      <c r="C244" s="20"/>
      <c r="D244" s="20"/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8" x14ac:dyDescent="0.35">
      <c r="A245" s="1"/>
      <c r="B245" s="19"/>
      <c r="C245" s="20"/>
      <c r="D245" s="20"/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8" x14ac:dyDescent="0.35">
      <c r="A246" s="1"/>
      <c r="B246" s="19"/>
      <c r="C246" s="20"/>
      <c r="D246" s="20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8" x14ac:dyDescent="0.35">
      <c r="A247" s="1"/>
      <c r="B247" s="19"/>
      <c r="C247" s="20"/>
      <c r="D247" s="20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8" x14ac:dyDescent="0.35">
      <c r="A248" s="1"/>
      <c r="B248" s="19"/>
      <c r="C248" s="20"/>
      <c r="D248" s="20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8" x14ac:dyDescent="0.35">
      <c r="A249" s="1"/>
      <c r="B249" s="19"/>
      <c r="C249" s="20"/>
      <c r="D249" s="20"/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8" x14ac:dyDescent="0.35">
      <c r="A250" s="1"/>
      <c r="B250" s="19"/>
      <c r="C250" s="20"/>
      <c r="D250" s="20"/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8" x14ac:dyDescent="0.35">
      <c r="A251" s="1"/>
      <c r="B251" s="19"/>
      <c r="C251" s="20"/>
      <c r="D251" s="20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8" x14ac:dyDescent="0.35">
      <c r="A252" s="1"/>
      <c r="B252" s="19"/>
      <c r="C252" s="20"/>
      <c r="D252" s="20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8" x14ac:dyDescent="0.35">
      <c r="A253" s="1"/>
      <c r="B253" s="19"/>
      <c r="C253" s="20"/>
      <c r="D253" s="20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8" x14ac:dyDescent="0.35">
      <c r="A254" s="1"/>
      <c r="B254" s="19"/>
      <c r="C254" s="20"/>
      <c r="D254" s="20"/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8" x14ac:dyDescent="0.35">
      <c r="A255" s="1"/>
      <c r="B255" s="19"/>
      <c r="C255" s="20"/>
      <c r="D255" s="20"/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8" x14ac:dyDescent="0.35">
      <c r="A256" s="1"/>
      <c r="B256" s="19"/>
      <c r="C256" s="20"/>
      <c r="D256" s="20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8" x14ac:dyDescent="0.35">
      <c r="A257" s="1"/>
      <c r="B257" s="19"/>
      <c r="C257" s="20"/>
      <c r="D257" s="20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8" x14ac:dyDescent="0.35">
      <c r="A258" s="1"/>
      <c r="B258" s="19"/>
      <c r="C258" s="20"/>
      <c r="D258" s="20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8" x14ac:dyDescent="0.35">
      <c r="A259" s="1"/>
      <c r="B259" s="19"/>
      <c r="C259" s="20"/>
      <c r="D259" s="20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8" x14ac:dyDescent="0.35">
      <c r="A260" s="1"/>
      <c r="B260" s="19"/>
      <c r="C260" s="20"/>
      <c r="D260" s="20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8" x14ac:dyDescent="0.35">
      <c r="A261" s="1"/>
      <c r="B261" s="19"/>
      <c r="C261" s="20"/>
      <c r="D261" s="20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8" x14ac:dyDescent="0.35">
      <c r="A262" s="1"/>
      <c r="B262" s="19"/>
      <c r="C262" s="20"/>
      <c r="D262" s="20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8" x14ac:dyDescent="0.35">
      <c r="A263" s="1"/>
      <c r="B263" s="19"/>
      <c r="C263" s="20"/>
      <c r="D263" s="20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8" x14ac:dyDescent="0.35">
      <c r="A264" s="1"/>
      <c r="B264" s="19"/>
      <c r="C264" s="20"/>
      <c r="D264" s="20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8" x14ac:dyDescent="0.35">
      <c r="A265" s="1"/>
      <c r="B265" s="19"/>
      <c r="C265" s="20"/>
      <c r="D265" s="20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8" x14ac:dyDescent="0.35">
      <c r="A266" s="1"/>
      <c r="B266" s="19"/>
      <c r="C266" s="20"/>
      <c r="D266" s="20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8" x14ac:dyDescent="0.35">
      <c r="A267" s="1"/>
      <c r="B267" s="19"/>
      <c r="C267" s="20"/>
      <c r="D267" s="20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8" x14ac:dyDescent="0.35">
      <c r="A268" s="1"/>
      <c r="B268" s="19"/>
      <c r="C268" s="20"/>
      <c r="D268" s="20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8" x14ac:dyDescent="0.35">
      <c r="A269" s="1"/>
      <c r="B269" s="19"/>
      <c r="C269" s="20"/>
      <c r="D269" s="20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8" x14ac:dyDescent="0.35">
      <c r="A270" s="1"/>
      <c r="B270" s="19"/>
      <c r="C270" s="20"/>
      <c r="D270" s="20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8" x14ac:dyDescent="0.35">
      <c r="A271" s="1"/>
      <c r="B271" s="19"/>
      <c r="C271" s="20"/>
      <c r="D271" s="20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8" x14ac:dyDescent="0.35">
      <c r="A272" s="1"/>
      <c r="B272" s="19"/>
      <c r="C272" s="20"/>
      <c r="D272" s="20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8" x14ac:dyDescent="0.35">
      <c r="A273" s="1"/>
      <c r="B273" s="19"/>
      <c r="C273" s="20"/>
      <c r="D273" s="20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8" x14ac:dyDescent="0.35">
      <c r="A274" s="1"/>
      <c r="B274" s="19"/>
      <c r="C274" s="20"/>
      <c r="D274" s="20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8" x14ac:dyDescent="0.35">
      <c r="A275" s="1"/>
      <c r="B275" s="19"/>
      <c r="C275" s="20"/>
      <c r="D275" s="20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8" x14ac:dyDescent="0.35">
      <c r="A276" s="1"/>
      <c r="B276" s="19"/>
      <c r="C276" s="20"/>
      <c r="D276" s="20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8" x14ac:dyDescent="0.35">
      <c r="A277" s="1"/>
      <c r="B277" s="19"/>
      <c r="C277" s="20"/>
      <c r="D277" s="20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8" x14ac:dyDescent="0.35">
      <c r="A278" s="1"/>
      <c r="B278" s="19"/>
      <c r="C278" s="20"/>
      <c r="D278" s="20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8" x14ac:dyDescent="0.35">
      <c r="A279" s="1"/>
      <c r="B279" s="19"/>
      <c r="C279" s="20"/>
      <c r="D279" s="20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8" x14ac:dyDescent="0.35">
      <c r="A280" s="1"/>
      <c r="B280" s="19"/>
      <c r="C280" s="20"/>
      <c r="D280" s="20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8" x14ac:dyDescent="0.35">
      <c r="A281" s="1"/>
      <c r="B281" s="19"/>
      <c r="C281" s="20"/>
      <c r="D281" s="20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8" x14ac:dyDescent="0.35">
      <c r="A282" s="1"/>
      <c r="B282" s="19"/>
      <c r="C282" s="20"/>
      <c r="D282" s="20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8" x14ac:dyDescent="0.35">
      <c r="A283" s="1"/>
      <c r="B283" s="19"/>
      <c r="C283" s="20"/>
      <c r="D283" s="20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8" x14ac:dyDescent="0.35">
      <c r="A284" s="1"/>
      <c r="B284" s="19"/>
      <c r="C284" s="20"/>
      <c r="D284" s="20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8" x14ac:dyDescent="0.35">
      <c r="A285" s="1"/>
      <c r="B285" s="19"/>
      <c r="C285" s="20"/>
      <c r="D285" s="20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8" x14ac:dyDescent="0.35">
      <c r="A286" s="1"/>
      <c r="B286" s="19"/>
      <c r="C286" s="20"/>
      <c r="D286" s="20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8" x14ac:dyDescent="0.35">
      <c r="A287" s="1"/>
      <c r="B287" s="19"/>
      <c r="C287" s="20"/>
      <c r="D287" s="20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8" x14ac:dyDescent="0.35">
      <c r="A288" s="1"/>
      <c r="B288" s="19"/>
      <c r="C288" s="20"/>
      <c r="D288" s="20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8" x14ac:dyDescent="0.35">
      <c r="A289" s="1"/>
      <c r="B289" s="19"/>
      <c r="C289" s="20"/>
      <c r="D289" s="20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8" x14ac:dyDescent="0.35">
      <c r="A290" s="1"/>
      <c r="B290" s="19"/>
      <c r="C290" s="20"/>
      <c r="D290" s="20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8" x14ac:dyDescent="0.35">
      <c r="A291" s="1"/>
      <c r="B291" s="19"/>
      <c r="C291" s="20"/>
      <c r="D291" s="20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8" x14ac:dyDescent="0.35">
      <c r="A292" s="1"/>
      <c r="B292" s="19"/>
      <c r="C292" s="20"/>
      <c r="D292" s="20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8" x14ac:dyDescent="0.35">
      <c r="A293" s="1"/>
      <c r="B293" s="19"/>
      <c r="C293" s="20"/>
      <c r="D293" s="20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8" x14ac:dyDescent="0.35">
      <c r="A294" s="1"/>
      <c r="B294" s="19"/>
      <c r="C294" s="20"/>
      <c r="D294" s="20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8" x14ac:dyDescent="0.35">
      <c r="A295" s="1"/>
      <c r="B295" s="19"/>
      <c r="C295" s="20"/>
      <c r="D295" s="20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8" x14ac:dyDescent="0.35">
      <c r="A296" s="1"/>
      <c r="B296" s="19"/>
      <c r="C296" s="20"/>
      <c r="D296" s="20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8" x14ac:dyDescent="0.35">
      <c r="A297" s="1"/>
      <c r="B297" s="19"/>
      <c r="C297" s="20"/>
      <c r="D297" s="20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8" x14ac:dyDescent="0.35">
      <c r="A298" s="1"/>
      <c r="B298" s="19"/>
      <c r="C298" s="20"/>
      <c r="D298" s="20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8" x14ac:dyDescent="0.35">
      <c r="A299" s="1"/>
      <c r="B299" s="19"/>
      <c r="C299" s="20"/>
      <c r="D299" s="20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8" x14ac:dyDescent="0.35">
      <c r="A300" s="1"/>
      <c r="B300" s="19"/>
      <c r="C300" s="20"/>
      <c r="D300" s="20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8" x14ac:dyDescent="0.35">
      <c r="A301" s="1"/>
      <c r="B301" s="19"/>
      <c r="C301" s="20"/>
      <c r="D301" s="20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8" x14ac:dyDescent="0.35">
      <c r="A302" s="1"/>
      <c r="B302" s="19"/>
      <c r="C302" s="20"/>
      <c r="D302" s="20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8" x14ac:dyDescent="0.35">
      <c r="A303" s="1"/>
      <c r="B303" s="19"/>
      <c r="C303" s="20"/>
      <c r="D303" s="20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8" x14ac:dyDescent="0.35">
      <c r="A304" s="1"/>
      <c r="B304" s="19"/>
      <c r="C304" s="20"/>
      <c r="D304" s="20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8" x14ac:dyDescent="0.35">
      <c r="A305" s="1"/>
      <c r="B305" s="19"/>
      <c r="C305" s="20"/>
      <c r="D305" s="20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8" x14ac:dyDescent="0.35">
      <c r="A306" s="1"/>
      <c r="B306" s="19"/>
      <c r="C306" s="20"/>
      <c r="D306" s="20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8" x14ac:dyDescent="0.35">
      <c r="A307" s="1"/>
      <c r="B307" s="19"/>
      <c r="C307" s="20"/>
      <c r="D307" s="20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8" x14ac:dyDescent="0.35">
      <c r="A308" s="1"/>
      <c r="B308" s="19"/>
      <c r="C308" s="20"/>
      <c r="D308" s="20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8" x14ac:dyDescent="0.35">
      <c r="A309" s="1"/>
      <c r="B309" s="19"/>
      <c r="C309" s="20"/>
      <c r="D309" s="20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8" x14ac:dyDescent="0.35">
      <c r="A310" s="1"/>
      <c r="B310" s="19"/>
      <c r="C310" s="20"/>
      <c r="D310" s="20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8" x14ac:dyDescent="0.35">
      <c r="A311" s="1"/>
      <c r="B311" s="19"/>
      <c r="C311" s="20"/>
      <c r="D311" s="20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8" x14ac:dyDescent="0.35">
      <c r="A312" s="1"/>
      <c r="B312" s="19"/>
      <c r="C312" s="20"/>
      <c r="D312" s="20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8" x14ac:dyDescent="0.35">
      <c r="A313" s="1"/>
      <c r="B313" s="19"/>
      <c r="C313" s="20"/>
      <c r="D313" s="20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8" x14ac:dyDescent="0.35">
      <c r="A314" s="1"/>
      <c r="B314" s="19"/>
      <c r="C314" s="20"/>
      <c r="D314" s="20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8" x14ac:dyDescent="0.35">
      <c r="A315" s="1"/>
      <c r="B315" s="19"/>
      <c r="C315" s="20"/>
      <c r="D315" s="20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8" x14ac:dyDescent="0.35">
      <c r="A316" s="1"/>
      <c r="B316" s="19"/>
      <c r="C316" s="20"/>
      <c r="D316" s="20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8" x14ac:dyDescent="0.35">
      <c r="A317" s="1"/>
      <c r="B317" s="19"/>
      <c r="C317" s="20"/>
      <c r="D317" s="20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8" x14ac:dyDescent="0.35">
      <c r="A318" s="1"/>
      <c r="B318" s="19"/>
      <c r="C318" s="20"/>
      <c r="D318" s="20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8" x14ac:dyDescent="0.35">
      <c r="A319" s="1"/>
      <c r="B319" s="19"/>
      <c r="C319" s="20"/>
      <c r="D319" s="20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8" x14ac:dyDescent="0.35">
      <c r="A320" s="1"/>
      <c r="B320" s="19"/>
      <c r="C320" s="20"/>
      <c r="D320" s="20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8" x14ac:dyDescent="0.35">
      <c r="A321" s="1"/>
      <c r="B321" s="19"/>
      <c r="C321" s="20"/>
      <c r="D321" s="20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8" x14ac:dyDescent="0.35">
      <c r="A322" s="1"/>
      <c r="B322" s="19"/>
      <c r="C322" s="20"/>
      <c r="D322" s="20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8" x14ac:dyDescent="0.35">
      <c r="A323" s="1"/>
      <c r="B323" s="19"/>
      <c r="C323" s="20"/>
      <c r="D323" s="20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8" x14ac:dyDescent="0.35">
      <c r="A324" s="1"/>
      <c r="B324" s="19"/>
      <c r="C324" s="20"/>
      <c r="D324" s="20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8" x14ac:dyDescent="0.35">
      <c r="A325" s="1"/>
      <c r="B325" s="19"/>
      <c r="C325" s="20"/>
      <c r="D325" s="20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8" x14ac:dyDescent="0.35">
      <c r="A326" s="1"/>
      <c r="B326" s="19"/>
      <c r="C326" s="20"/>
      <c r="D326" s="20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8" x14ac:dyDescent="0.35">
      <c r="A327" s="1"/>
      <c r="B327" s="19"/>
      <c r="C327" s="20"/>
      <c r="D327" s="20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8" x14ac:dyDescent="0.35">
      <c r="A328" s="1"/>
      <c r="B328" s="19"/>
      <c r="C328" s="20"/>
      <c r="D328" s="20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8" x14ac:dyDescent="0.35">
      <c r="A329" s="1"/>
      <c r="B329" s="19"/>
      <c r="C329" s="20"/>
      <c r="D329" s="20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8" x14ac:dyDescent="0.35">
      <c r="A330" s="1"/>
      <c r="B330" s="19"/>
      <c r="C330" s="20"/>
      <c r="D330" s="20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8" x14ac:dyDescent="0.35">
      <c r="A331" s="1"/>
      <c r="B331" s="19"/>
      <c r="C331" s="20"/>
      <c r="D331" s="20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8" x14ac:dyDescent="0.35">
      <c r="A332" s="1"/>
      <c r="B332" s="19"/>
      <c r="C332" s="20"/>
      <c r="D332" s="20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8" x14ac:dyDescent="0.35">
      <c r="A333" s="1"/>
      <c r="B333" s="19"/>
      <c r="C333" s="20"/>
      <c r="D333" s="20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8" x14ac:dyDescent="0.35">
      <c r="A334" s="1"/>
      <c r="B334" s="19"/>
      <c r="C334" s="20"/>
      <c r="D334" s="20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8" x14ac:dyDescent="0.35">
      <c r="A335" s="1"/>
      <c r="B335" s="19"/>
      <c r="C335" s="20"/>
      <c r="D335" s="20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8" x14ac:dyDescent="0.35">
      <c r="A336" s="1"/>
      <c r="B336" s="19"/>
      <c r="C336" s="20"/>
      <c r="D336" s="20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8" x14ac:dyDescent="0.35">
      <c r="A337" s="1"/>
      <c r="B337" s="19"/>
      <c r="C337" s="20"/>
      <c r="D337" s="20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8" x14ac:dyDescent="0.35">
      <c r="A338" s="1"/>
      <c r="B338" s="19"/>
      <c r="C338" s="20"/>
      <c r="D338" s="20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8" x14ac:dyDescent="0.35">
      <c r="A339" s="1"/>
      <c r="B339" s="19"/>
      <c r="C339" s="20"/>
      <c r="D339" s="20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8" x14ac:dyDescent="0.35">
      <c r="A340" s="1"/>
      <c r="B340" s="19"/>
      <c r="C340" s="20"/>
      <c r="D340" s="20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8" x14ac:dyDescent="0.35">
      <c r="A341" s="1"/>
      <c r="B341" s="19"/>
      <c r="C341" s="20"/>
      <c r="D341" s="20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8" x14ac:dyDescent="0.35">
      <c r="A342" s="1"/>
      <c r="B342" s="19"/>
      <c r="C342" s="20"/>
      <c r="D342" s="20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8" x14ac:dyDescent="0.35">
      <c r="A343" s="1"/>
      <c r="B343" s="19"/>
      <c r="C343" s="20"/>
      <c r="D343" s="20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8" x14ac:dyDescent="0.35">
      <c r="A344" s="1"/>
      <c r="B344" s="19"/>
      <c r="C344" s="20"/>
      <c r="D344" s="20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8" x14ac:dyDescent="0.35">
      <c r="A345" s="1"/>
      <c r="B345" s="19"/>
      <c r="C345" s="20"/>
      <c r="D345" s="20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8" x14ac:dyDescent="0.35">
      <c r="A346" s="1"/>
      <c r="B346" s="19"/>
      <c r="C346" s="20"/>
      <c r="D346" s="20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8" x14ac:dyDescent="0.35">
      <c r="A347" s="1"/>
      <c r="B347" s="19"/>
      <c r="C347" s="20"/>
      <c r="D347" s="20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8" x14ac:dyDescent="0.35">
      <c r="A348" s="1"/>
      <c r="B348" s="19"/>
      <c r="C348" s="20"/>
      <c r="D348" s="20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8" x14ac:dyDescent="0.35">
      <c r="A349" s="1"/>
      <c r="B349" s="19"/>
      <c r="C349" s="20"/>
      <c r="D349" s="20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8" x14ac:dyDescent="0.35">
      <c r="A350" s="1"/>
      <c r="B350" s="19"/>
      <c r="C350" s="20"/>
      <c r="D350" s="20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8" x14ac:dyDescent="0.35">
      <c r="A351" s="1"/>
      <c r="B351" s="19"/>
      <c r="C351" s="20"/>
      <c r="D351" s="20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8" x14ac:dyDescent="0.35">
      <c r="A352" s="1"/>
      <c r="B352" s="19"/>
      <c r="C352" s="20"/>
      <c r="D352" s="20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8" x14ac:dyDescent="0.35">
      <c r="A353" s="1"/>
      <c r="B353" s="19"/>
      <c r="C353" s="20"/>
      <c r="D353" s="20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8" x14ac:dyDescent="0.35">
      <c r="A354" s="1"/>
      <c r="B354" s="19"/>
      <c r="C354" s="20"/>
      <c r="D354" s="20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8" x14ac:dyDescent="0.35">
      <c r="A355" s="1"/>
      <c r="B355" s="19"/>
      <c r="C355" s="20"/>
      <c r="D355" s="20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8" x14ac:dyDescent="0.35">
      <c r="A356" s="1"/>
      <c r="B356" s="19"/>
      <c r="C356" s="20"/>
      <c r="D356" s="20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8" x14ac:dyDescent="0.35">
      <c r="A357" s="1"/>
      <c r="B357" s="19"/>
      <c r="C357" s="20"/>
      <c r="D357" s="20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8" x14ac:dyDescent="0.35">
      <c r="A358" s="1"/>
      <c r="B358" s="19"/>
      <c r="C358" s="20"/>
      <c r="D358" s="20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8" x14ac:dyDescent="0.35">
      <c r="A359" s="1"/>
      <c r="B359" s="19"/>
      <c r="C359" s="20"/>
      <c r="D359" s="20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8" x14ac:dyDescent="0.35">
      <c r="A360" s="1"/>
      <c r="B360" s="19"/>
      <c r="C360" s="20"/>
      <c r="D360" s="20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8" x14ac:dyDescent="0.35">
      <c r="A361" s="1"/>
      <c r="B361" s="19"/>
      <c r="C361" s="20"/>
      <c r="D361" s="20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8" x14ac:dyDescent="0.35">
      <c r="A362" s="1"/>
      <c r="B362" s="19"/>
      <c r="C362" s="20"/>
      <c r="D362" s="20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8" x14ac:dyDescent="0.35">
      <c r="A363" s="1"/>
      <c r="B363" s="19"/>
      <c r="C363" s="20"/>
      <c r="D363" s="20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8" x14ac:dyDescent="0.35">
      <c r="A364" s="1"/>
      <c r="B364" s="19"/>
      <c r="C364" s="20"/>
      <c r="D364" s="20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8" x14ac:dyDescent="0.35">
      <c r="A365" s="1"/>
      <c r="B365" s="19"/>
      <c r="C365" s="20"/>
      <c r="D365" s="20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8" x14ac:dyDescent="0.35">
      <c r="A366" s="1"/>
      <c r="B366" s="19"/>
      <c r="C366" s="20"/>
      <c r="D366" s="20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8" x14ac:dyDescent="0.35">
      <c r="A367" s="1"/>
      <c r="B367" s="19"/>
      <c r="C367" s="20"/>
      <c r="D367" s="20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8" x14ac:dyDescent="0.35">
      <c r="A368" s="1"/>
      <c r="B368" s="19"/>
      <c r="C368" s="20"/>
      <c r="D368" s="20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8" x14ac:dyDescent="0.35">
      <c r="A369" s="1"/>
      <c r="B369" s="19"/>
      <c r="C369" s="20"/>
      <c r="D369" s="20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8" x14ac:dyDescent="0.35">
      <c r="A370" s="1"/>
      <c r="B370" s="19"/>
      <c r="C370" s="20"/>
      <c r="D370" s="20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8" x14ac:dyDescent="0.35">
      <c r="A371" s="1"/>
      <c r="B371" s="19"/>
      <c r="C371" s="20"/>
      <c r="D371" s="20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8" x14ac:dyDescent="0.35">
      <c r="A372" s="1"/>
      <c r="B372" s="19"/>
      <c r="C372" s="20"/>
      <c r="D372" s="20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8" x14ac:dyDescent="0.35">
      <c r="A373" s="1"/>
      <c r="B373" s="19"/>
      <c r="C373" s="20"/>
      <c r="D373" s="20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8" x14ac:dyDescent="0.35">
      <c r="A374" s="1"/>
      <c r="B374" s="19"/>
      <c r="C374" s="20"/>
      <c r="D374" s="20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8" x14ac:dyDescent="0.35">
      <c r="A375" s="1"/>
      <c r="B375" s="19"/>
      <c r="C375" s="20"/>
      <c r="D375" s="20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8" x14ac:dyDescent="0.35">
      <c r="A376" s="1"/>
      <c r="B376" s="19"/>
      <c r="C376" s="20"/>
      <c r="D376" s="20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8" x14ac:dyDescent="0.35">
      <c r="A377" s="1"/>
      <c r="B377" s="19"/>
      <c r="C377" s="20"/>
      <c r="D377" s="20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8" x14ac:dyDescent="0.35">
      <c r="A378" s="1"/>
      <c r="B378" s="19"/>
      <c r="C378" s="20"/>
      <c r="D378" s="20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8" x14ac:dyDescent="0.35">
      <c r="A379" s="1"/>
      <c r="B379" s="19"/>
      <c r="C379" s="20"/>
      <c r="D379" s="20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8" x14ac:dyDescent="0.35">
      <c r="A380" s="1"/>
      <c r="B380" s="19"/>
      <c r="C380" s="20"/>
      <c r="D380" s="20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8" x14ac:dyDescent="0.35">
      <c r="A381" s="1"/>
      <c r="B381" s="19"/>
      <c r="C381" s="20"/>
      <c r="D381" s="20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8" x14ac:dyDescent="0.35">
      <c r="A382" s="1"/>
      <c r="B382" s="19"/>
      <c r="C382" s="20"/>
      <c r="D382" s="20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8" x14ac:dyDescent="0.35">
      <c r="A383" s="1"/>
      <c r="B383" s="19"/>
      <c r="C383" s="20"/>
      <c r="D383" s="20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8" x14ac:dyDescent="0.35">
      <c r="A384" s="1"/>
      <c r="B384" s="19"/>
      <c r="C384" s="20"/>
      <c r="D384" s="20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8" x14ac:dyDescent="0.35">
      <c r="A385" s="1"/>
      <c r="B385" s="19"/>
      <c r="C385" s="20"/>
      <c r="D385" s="20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8" x14ac:dyDescent="0.35">
      <c r="A386" s="1"/>
      <c r="B386" s="19"/>
      <c r="C386" s="20"/>
      <c r="D386" s="20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8" x14ac:dyDescent="0.35">
      <c r="A387" s="1"/>
      <c r="B387" s="19"/>
      <c r="C387" s="20"/>
      <c r="D387" s="20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8" x14ac:dyDescent="0.35">
      <c r="A388" s="1"/>
      <c r="B388" s="19"/>
      <c r="C388" s="20"/>
      <c r="D388" s="20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8" x14ac:dyDescent="0.35">
      <c r="A389" s="1"/>
      <c r="B389" s="19"/>
      <c r="C389" s="20"/>
      <c r="D389" s="20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8" x14ac:dyDescent="0.35">
      <c r="A390" s="1"/>
      <c r="B390" s="19"/>
      <c r="C390" s="20"/>
      <c r="D390" s="20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8" x14ac:dyDescent="0.35">
      <c r="A391" s="1"/>
      <c r="B391" s="19"/>
      <c r="C391" s="20"/>
      <c r="D391" s="20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8" x14ac:dyDescent="0.35">
      <c r="A392" s="1"/>
      <c r="B392" s="19"/>
      <c r="C392" s="20"/>
      <c r="D392" s="20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8" x14ac:dyDescent="0.35">
      <c r="A393" s="1"/>
      <c r="B393" s="19"/>
      <c r="C393" s="20"/>
      <c r="D393" s="20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8" x14ac:dyDescent="0.35">
      <c r="A394" s="1"/>
      <c r="B394" s="19"/>
      <c r="C394" s="20"/>
      <c r="D394" s="20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8" x14ac:dyDescent="0.35">
      <c r="A395" s="1"/>
      <c r="B395" s="19"/>
      <c r="C395" s="20"/>
      <c r="D395" s="20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8" x14ac:dyDescent="0.35">
      <c r="A396" s="1"/>
      <c r="B396" s="19"/>
      <c r="C396" s="20"/>
      <c r="D396" s="20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8" x14ac:dyDescent="0.35">
      <c r="A397" s="1"/>
      <c r="B397" s="19"/>
      <c r="C397" s="20"/>
      <c r="D397" s="20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8" x14ac:dyDescent="0.35">
      <c r="A398" s="1"/>
      <c r="B398" s="19"/>
      <c r="C398" s="20"/>
      <c r="D398" s="20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8" x14ac:dyDescent="0.35">
      <c r="A399" s="1"/>
      <c r="B399" s="19"/>
      <c r="C399" s="20"/>
      <c r="D399" s="20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8" x14ac:dyDescent="0.35">
      <c r="A400" s="1"/>
      <c r="B400" s="19"/>
      <c r="C400" s="20"/>
      <c r="D400" s="20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8" x14ac:dyDescent="0.35">
      <c r="A401" s="1"/>
      <c r="B401" s="19"/>
      <c r="C401" s="20"/>
      <c r="D401" s="20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8" x14ac:dyDescent="0.35">
      <c r="A402" s="1"/>
      <c r="B402" s="19"/>
      <c r="C402" s="20"/>
      <c r="D402" s="20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8" x14ac:dyDescent="0.35">
      <c r="A403" s="1"/>
      <c r="B403" s="19"/>
      <c r="C403" s="20"/>
      <c r="D403" s="20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8" x14ac:dyDescent="0.35">
      <c r="A404" s="1"/>
      <c r="B404" s="19"/>
      <c r="C404" s="20"/>
      <c r="D404" s="20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8" x14ac:dyDescent="0.35">
      <c r="A405" s="1"/>
      <c r="B405" s="19"/>
      <c r="C405" s="20"/>
      <c r="D405" s="20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8" x14ac:dyDescent="0.35">
      <c r="A406" s="1"/>
      <c r="B406" s="19"/>
      <c r="C406" s="20"/>
      <c r="D406" s="20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8" x14ac:dyDescent="0.35">
      <c r="A407" s="1"/>
      <c r="B407" s="19"/>
      <c r="C407" s="20"/>
      <c r="D407" s="20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8" x14ac:dyDescent="0.35">
      <c r="A408" s="1"/>
      <c r="B408" s="19"/>
      <c r="C408" s="20"/>
      <c r="D408" s="20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8" x14ac:dyDescent="0.35">
      <c r="A409" s="1"/>
      <c r="B409" s="19"/>
      <c r="C409" s="20"/>
      <c r="D409" s="20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8" x14ac:dyDescent="0.35">
      <c r="A410" s="1"/>
      <c r="B410" s="19"/>
      <c r="C410" s="20"/>
      <c r="D410" s="20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8" x14ac:dyDescent="0.35">
      <c r="A411" s="1"/>
      <c r="B411" s="19"/>
      <c r="C411" s="20"/>
      <c r="D411" s="20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8" x14ac:dyDescent="0.35">
      <c r="A412" s="1"/>
      <c r="B412" s="19"/>
      <c r="C412" s="20"/>
      <c r="D412" s="20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8" x14ac:dyDescent="0.35">
      <c r="A413" s="1"/>
      <c r="B413" s="19"/>
      <c r="C413" s="20"/>
      <c r="D413" s="20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8" x14ac:dyDescent="0.35">
      <c r="A414" s="1"/>
      <c r="B414" s="19"/>
      <c r="C414" s="20"/>
      <c r="D414" s="20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8" x14ac:dyDescent="0.35">
      <c r="A415" s="1"/>
      <c r="B415" s="19"/>
      <c r="C415" s="20"/>
      <c r="D415" s="20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8" x14ac:dyDescent="0.35">
      <c r="A416" s="1"/>
      <c r="B416" s="19"/>
      <c r="C416" s="20"/>
      <c r="D416" s="20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8" x14ac:dyDescent="0.35">
      <c r="A417" s="1"/>
      <c r="B417" s="19"/>
      <c r="C417" s="20"/>
      <c r="D417" s="20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8" x14ac:dyDescent="0.35">
      <c r="A418" s="1"/>
      <c r="B418" s="19"/>
      <c r="C418" s="20"/>
      <c r="D418" s="20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8" x14ac:dyDescent="0.35">
      <c r="A419" s="1"/>
      <c r="B419" s="19"/>
      <c r="C419" s="20"/>
      <c r="D419" s="20"/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8" x14ac:dyDescent="0.35">
      <c r="A420" s="1"/>
      <c r="B420" s="19"/>
      <c r="C420" s="20"/>
      <c r="D420" s="20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8" x14ac:dyDescent="0.35">
      <c r="A421" s="1"/>
      <c r="B421" s="19"/>
      <c r="C421" s="20"/>
      <c r="D421" s="20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8" x14ac:dyDescent="0.35">
      <c r="A422" s="1"/>
      <c r="B422" s="19"/>
      <c r="C422" s="20"/>
      <c r="D422" s="20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8" x14ac:dyDescent="0.35">
      <c r="A423" s="1"/>
      <c r="B423" s="19"/>
      <c r="C423" s="20"/>
      <c r="D423" s="20"/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8" x14ac:dyDescent="0.35">
      <c r="A424" s="1"/>
      <c r="B424" s="19"/>
      <c r="C424" s="20"/>
      <c r="D424" s="20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8" x14ac:dyDescent="0.35">
      <c r="A425" s="1"/>
      <c r="B425" s="19"/>
      <c r="C425" s="20"/>
      <c r="D425" s="20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8" x14ac:dyDescent="0.35">
      <c r="A426" s="1"/>
      <c r="B426" s="19"/>
      <c r="C426" s="20"/>
      <c r="D426" s="20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8" x14ac:dyDescent="0.35">
      <c r="A427" s="1"/>
      <c r="B427" s="19"/>
      <c r="C427" s="20"/>
      <c r="D427" s="20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8" x14ac:dyDescent="0.35">
      <c r="A428" s="1"/>
      <c r="B428" s="19"/>
      <c r="C428" s="20"/>
      <c r="D428" s="20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8" x14ac:dyDescent="0.35">
      <c r="A429" s="1"/>
      <c r="B429" s="19"/>
      <c r="C429" s="20"/>
      <c r="D429" s="20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8" x14ac:dyDescent="0.35">
      <c r="A430" s="1"/>
      <c r="B430" s="19"/>
      <c r="C430" s="20"/>
      <c r="D430" s="20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8" x14ac:dyDescent="0.35">
      <c r="A431" s="1"/>
      <c r="B431" s="19"/>
      <c r="C431" s="20"/>
      <c r="D431" s="20"/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8" x14ac:dyDescent="0.35">
      <c r="A432" s="1"/>
      <c r="B432" s="19"/>
      <c r="C432" s="20"/>
      <c r="D432" s="20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8" x14ac:dyDescent="0.35">
      <c r="A433" s="1"/>
      <c r="B433" s="19"/>
      <c r="C433" s="20"/>
      <c r="D433" s="20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8" x14ac:dyDescent="0.35">
      <c r="A434" s="1"/>
      <c r="B434" s="19"/>
      <c r="C434" s="20"/>
      <c r="D434" s="20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8" x14ac:dyDescent="0.35">
      <c r="A435" s="1"/>
      <c r="B435" s="19"/>
      <c r="C435" s="20"/>
      <c r="D435" s="20"/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8" x14ac:dyDescent="0.35">
      <c r="A436" s="1"/>
      <c r="B436" s="19"/>
      <c r="C436" s="20"/>
      <c r="D436" s="20"/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8" x14ac:dyDescent="0.35">
      <c r="A437" s="1"/>
      <c r="B437" s="19"/>
      <c r="C437" s="20"/>
      <c r="D437" s="20"/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8" x14ac:dyDescent="0.35">
      <c r="A438" s="1"/>
      <c r="B438" s="19"/>
      <c r="C438" s="20"/>
      <c r="D438" s="20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8" x14ac:dyDescent="0.35">
      <c r="A439" s="1"/>
      <c r="B439" s="19"/>
      <c r="C439" s="20"/>
      <c r="D439" s="20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8" x14ac:dyDescent="0.35">
      <c r="A440" s="1"/>
      <c r="B440" s="19"/>
      <c r="C440" s="20"/>
      <c r="D440" s="20"/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8" x14ac:dyDescent="0.35">
      <c r="A441" s="1"/>
      <c r="B441" s="19"/>
      <c r="C441" s="20"/>
      <c r="D441" s="20"/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8" x14ac:dyDescent="0.35">
      <c r="A442" s="1"/>
      <c r="B442" s="19"/>
      <c r="C442" s="20"/>
      <c r="D442" s="20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8" x14ac:dyDescent="0.35">
      <c r="A443" s="1"/>
      <c r="B443" s="19"/>
      <c r="C443" s="20"/>
      <c r="D443" s="20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8" x14ac:dyDescent="0.35">
      <c r="A444" s="1"/>
      <c r="B444" s="19"/>
      <c r="C444" s="20"/>
      <c r="D444" s="20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8" x14ac:dyDescent="0.35">
      <c r="A445" s="1"/>
      <c r="B445" s="19"/>
      <c r="C445" s="20"/>
      <c r="D445" s="20"/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8" x14ac:dyDescent="0.35">
      <c r="A446" s="1"/>
      <c r="B446" s="19"/>
      <c r="C446" s="20"/>
      <c r="D446" s="20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8" x14ac:dyDescent="0.35">
      <c r="A447" s="1"/>
      <c r="B447" s="19"/>
      <c r="C447" s="20"/>
      <c r="D447" s="20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8" x14ac:dyDescent="0.35">
      <c r="A448" s="1"/>
      <c r="B448" s="19"/>
      <c r="C448" s="20"/>
      <c r="D448" s="20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8" x14ac:dyDescent="0.35">
      <c r="A449" s="1"/>
      <c r="B449" s="19"/>
      <c r="C449" s="20"/>
      <c r="D449" s="20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8" x14ac:dyDescent="0.35">
      <c r="A450" s="1"/>
      <c r="B450" s="19"/>
      <c r="C450" s="20"/>
      <c r="D450" s="20"/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8" x14ac:dyDescent="0.35">
      <c r="A451" s="1"/>
      <c r="B451" s="19"/>
      <c r="C451" s="20"/>
      <c r="D451" s="20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8" x14ac:dyDescent="0.35">
      <c r="A452" s="1"/>
      <c r="B452" s="19"/>
      <c r="C452" s="20"/>
      <c r="D452" s="20"/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8" x14ac:dyDescent="0.35">
      <c r="A453" s="1"/>
      <c r="B453" s="19"/>
      <c r="C453" s="20"/>
      <c r="D453" s="20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8" x14ac:dyDescent="0.35">
      <c r="A454" s="1"/>
      <c r="B454" s="19"/>
      <c r="C454" s="20"/>
      <c r="D454" s="20"/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8" x14ac:dyDescent="0.35">
      <c r="A455" s="1"/>
      <c r="B455" s="19"/>
      <c r="C455" s="20"/>
      <c r="D455" s="20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8" x14ac:dyDescent="0.35">
      <c r="A456" s="1"/>
      <c r="B456" s="19"/>
      <c r="C456" s="20"/>
      <c r="D456" s="20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8" x14ac:dyDescent="0.35">
      <c r="A457" s="1"/>
      <c r="B457" s="19"/>
      <c r="C457" s="20"/>
      <c r="D457" s="20"/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8" x14ac:dyDescent="0.35">
      <c r="A458" s="1"/>
      <c r="B458" s="19"/>
      <c r="C458" s="20"/>
      <c r="D458" s="20"/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8" x14ac:dyDescent="0.35">
      <c r="A459" s="1"/>
      <c r="B459" s="19"/>
      <c r="C459" s="20"/>
      <c r="D459" s="20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8" x14ac:dyDescent="0.35">
      <c r="A460" s="1"/>
      <c r="B460" s="19"/>
      <c r="C460" s="20"/>
      <c r="D460" s="20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8" x14ac:dyDescent="0.35">
      <c r="A461" s="1"/>
      <c r="B461" s="19"/>
      <c r="C461" s="20"/>
      <c r="D461" s="20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8" x14ac:dyDescent="0.35">
      <c r="A462" s="1"/>
      <c r="B462" s="19"/>
      <c r="C462" s="20"/>
      <c r="D462" s="20"/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8" x14ac:dyDescent="0.35">
      <c r="A463" s="1"/>
      <c r="B463" s="19"/>
      <c r="C463" s="20"/>
      <c r="D463" s="20"/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8" x14ac:dyDescent="0.35">
      <c r="A464" s="1"/>
      <c r="B464" s="19"/>
      <c r="C464" s="20"/>
      <c r="D464" s="20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8" x14ac:dyDescent="0.35">
      <c r="A465" s="1"/>
      <c r="B465" s="19"/>
      <c r="C465" s="20"/>
      <c r="D465" s="20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8" x14ac:dyDescent="0.35">
      <c r="A466" s="1"/>
      <c r="B466" s="19"/>
      <c r="C466" s="20"/>
      <c r="D466" s="20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8" x14ac:dyDescent="0.35">
      <c r="A467" s="1"/>
      <c r="B467" s="19"/>
      <c r="C467" s="20"/>
      <c r="D467" s="20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8" x14ac:dyDescent="0.35">
      <c r="A468" s="1"/>
      <c r="B468" s="19"/>
      <c r="C468" s="20"/>
      <c r="D468" s="20"/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8" x14ac:dyDescent="0.35">
      <c r="A469" s="1"/>
      <c r="B469" s="19"/>
      <c r="C469" s="20"/>
      <c r="D469" s="20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8" x14ac:dyDescent="0.35">
      <c r="A470" s="1"/>
      <c r="B470" s="19"/>
      <c r="C470" s="20"/>
      <c r="D470" s="20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8" x14ac:dyDescent="0.35">
      <c r="A471" s="1"/>
      <c r="B471" s="19"/>
      <c r="C471" s="20"/>
      <c r="D471" s="20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8" x14ac:dyDescent="0.35">
      <c r="A472" s="1"/>
      <c r="B472" s="19"/>
      <c r="C472" s="20"/>
      <c r="D472" s="20"/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8" x14ac:dyDescent="0.35">
      <c r="A473" s="1"/>
      <c r="B473" s="19"/>
      <c r="C473" s="20"/>
      <c r="D473" s="20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8" x14ac:dyDescent="0.35">
      <c r="A474" s="1"/>
      <c r="B474" s="19"/>
      <c r="C474" s="20"/>
      <c r="D474" s="20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8" x14ac:dyDescent="0.35">
      <c r="A475" s="1"/>
      <c r="B475" s="19"/>
      <c r="C475" s="20"/>
      <c r="D475" s="20"/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8" x14ac:dyDescent="0.35">
      <c r="A476" s="1"/>
      <c r="B476" s="19"/>
      <c r="C476" s="20"/>
      <c r="D476" s="20"/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8" x14ac:dyDescent="0.35">
      <c r="A477" s="1"/>
      <c r="B477" s="19"/>
      <c r="C477" s="20"/>
      <c r="D477" s="20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8" x14ac:dyDescent="0.35">
      <c r="A478" s="1"/>
      <c r="B478" s="19"/>
      <c r="C478" s="20"/>
      <c r="D478" s="20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8" x14ac:dyDescent="0.35">
      <c r="A479" s="1"/>
      <c r="B479" s="19"/>
      <c r="C479" s="20"/>
      <c r="D479" s="20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8" x14ac:dyDescent="0.35">
      <c r="A480" s="1"/>
      <c r="B480" s="19"/>
      <c r="C480" s="20"/>
      <c r="D480" s="20"/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8" x14ac:dyDescent="0.35">
      <c r="A481" s="1"/>
      <c r="B481" s="19"/>
      <c r="C481" s="20"/>
      <c r="D481" s="20"/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8" x14ac:dyDescent="0.35">
      <c r="A482" s="1"/>
      <c r="B482" s="19"/>
      <c r="C482" s="20"/>
      <c r="D482" s="20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8" x14ac:dyDescent="0.35">
      <c r="A483" s="1"/>
      <c r="B483" s="19"/>
      <c r="C483" s="20"/>
      <c r="D483" s="20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8" x14ac:dyDescent="0.35">
      <c r="A484" s="1"/>
      <c r="B484" s="19"/>
      <c r="C484" s="20"/>
      <c r="D484" s="20"/>
      <c r="E484" s="21"/>
      <c r="F484" s="22"/>
      <c r="G484" s="22"/>
      <c r="H484" s="22"/>
      <c r="I484" s="22"/>
      <c r="J484" s="22"/>
      <c r="K484" s="22"/>
      <c r="L484" s="22"/>
      <c r="M484" s="22"/>
      <c r="N484" s="2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8" x14ac:dyDescent="0.35">
      <c r="A485" s="1"/>
      <c r="B485" s="19"/>
      <c r="C485" s="20"/>
      <c r="D485" s="20"/>
      <c r="E485" s="21"/>
      <c r="F485" s="22"/>
      <c r="G485" s="22"/>
      <c r="H485" s="22"/>
      <c r="I485" s="22"/>
      <c r="J485" s="22"/>
      <c r="K485" s="22"/>
      <c r="L485" s="22"/>
      <c r="M485" s="22"/>
      <c r="N485" s="2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8" x14ac:dyDescent="0.35">
      <c r="A486" s="1"/>
      <c r="B486" s="19"/>
      <c r="C486" s="20"/>
      <c r="D486" s="20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8" x14ac:dyDescent="0.35">
      <c r="A487" s="1"/>
      <c r="B487" s="19"/>
      <c r="C487" s="20"/>
      <c r="D487" s="20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8" x14ac:dyDescent="0.35">
      <c r="A488" s="1"/>
      <c r="B488" s="19"/>
      <c r="C488" s="20"/>
      <c r="D488" s="20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8" x14ac:dyDescent="0.35">
      <c r="A489" s="1"/>
      <c r="B489" s="19"/>
      <c r="C489" s="20"/>
      <c r="D489" s="20"/>
      <c r="E489" s="21"/>
      <c r="F489" s="22"/>
      <c r="G489" s="22"/>
      <c r="H489" s="22"/>
      <c r="I489" s="22"/>
      <c r="J489" s="22"/>
      <c r="K489" s="22"/>
      <c r="L489" s="22"/>
      <c r="M489" s="22"/>
      <c r="N489" s="2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8" x14ac:dyDescent="0.35">
      <c r="A490" s="1"/>
      <c r="B490" s="19"/>
      <c r="C490" s="20"/>
      <c r="D490" s="20"/>
      <c r="E490" s="21"/>
      <c r="F490" s="22"/>
      <c r="G490" s="22"/>
      <c r="H490" s="22"/>
      <c r="I490" s="22"/>
      <c r="J490" s="22"/>
      <c r="K490" s="22"/>
      <c r="L490" s="22"/>
      <c r="M490" s="22"/>
      <c r="N490" s="2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8" x14ac:dyDescent="0.35">
      <c r="A491" s="1"/>
      <c r="B491" s="19"/>
      <c r="C491" s="20"/>
      <c r="D491" s="20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8" x14ac:dyDescent="0.35">
      <c r="A492" s="1"/>
      <c r="B492" s="19"/>
      <c r="C492" s="20"/>
      <c r="D492" s="20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8" x14ac:dyDescent="0.35">
      <c r="A493" s="1"/>
      <c r="B493" s="19"/>
      <c r="C493" s="20"/>
      <c r="D493" s="20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8" x14ac:dyDescent="0.35">
      <c r="A494" s="1"/>
      <c r="B494" s="19"/>
      <c r="C494" s="20"/>
      <c r="D494" s="20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8" x14ac:dyDescent="0.35">
      <c r="A495" s="1"/>
      <c r="B495" s="19"/>
      <c r="C495" s="20"/>
      <c r="D495" s="20"/>
      <c r="E495" s="21"/>
      <c r="F495" s="22"/>
      <c r="G495" s="22"/>
      <c r="H495" s="22"/>
      <c r="I495" s="22"/>
      <c r="J495" s="22"/>
      <c r="K495" s="22"/>
      <c r="L495" s="22"/>
      <c r="M495" s="22"/>
      <c r="N495" s="2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8" x14ac:dyDescent="0.35">
      <c r="A496" s="1"/>
      <c r="B496" s="19"/>
      <c r="C496" s="20"/>
      <c r="D496" s="20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8" x14ac:dyDescent="0.35">
      <c r="A497" s="1"/>
      <c r="B497" s="19"/>
      <c r="C497" s="20"/>
      <c r="D497" s="20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8" x14ac:dyDescent="0.35">
      <c r="A498" s="1"/>
      <c r="B498" s="19"/>
      <c r="C498" s="20"/>
      <c r="D498" s="20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8" x14ac:dyDescent="0.35">
      <c r="A499" s="1"/>
      <c r="B499" s="19"/>
      <c r="C499" s="20"/>
      <c r="D499" s="20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8" x14ac:dyDescent="0.35">
      <c r="A500" s="1"/>
      <c r="B500" s="19"/>
      <c r="C500" s="20"/>
      <c r="D500" s="20"/>
      <c r="E500" s="21"/>
      <c r="F500" s="22"/>
      <c r="G500" s="22"/>
      <c r="H500" s="22"/>
      <c r="I500" s="22"/>
      <c r="J500" s="22"/>
      <c r="K500" s="22"/>
      <c r="L500" s="22"/>
      <c r="M500" s="22"/>
      <c r="N500" s="2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8" x14ac:dyDescent="0.35">
      <c r="A501" s="1"/>
      <c r="B501" s="19"/>
      <c r="C501" s="20"/>
      <c r="D501" s="20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8" x14ac:dyDescent="0.35">
      <c r="A502" s="1"/>
      <c r="B502" s="19"/>
      <c r="C502" s="20"/>
      <c r="D502" s="20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8" x14ac:dyDescent="0.35">
      <c r="A503" s="1"/>
      <c r="B503" s="19"/>
      <c r="C503" s="20"/>
      <c r="D503" s="20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8" x14ac:dyDescent="0.35">
      <c r="A504" s="1"/>
      <c r="B504" s="19"/>
      <c r="C504" s="20"/>
      <c r="D504" s="20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8" x14ac:dyDescent="0.35">
      <c r="A505" s="1"/>
      <c r="B505" s="19"/>
      <c r="C505" s="20"/>
      <c r="D505" s="20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8" x14ac:dyDescent="0.35">
      <c r="A506" s="1"/>
      <c r="B506" s="19"/>
      <c r="C506" s="20"/>
      <c r="D506" s="20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8" x14ac:dyDescent="0.35">
      <c r="A507" s="1"/>
      <c r="B507" s="19"/>
      <c r="C507" s="20"/>
      <c r="D507" s="20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8" x14ac:dyDescent="0.35">
      <c r="A508" s="1"/>
      <c r="B508" s="19"/>
      <c r="C508" s="20"/>
      <c r="D508" s="20"/>
      <c r="E508" s="21"/>
      <c r="F508" s="22"/>
      <c r="G508" s="22"/>
      <c r="H508" s="22"/>
      <c r="I508" s="22"/>
      <c r="J508" s="22"/>
      <c r="K508" s="22"/>
      <c r="L508" s="22"/>
      <c r="M508" s="22"/>
      <c r="N508" s="2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8" x14ac:dyDescent="0.35">
      <c r="A509" s="1"/>
      <c r="B509" s="19"/>
      <c r="C509" s="20"/>
      <c r="D509" s="20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8" x14ac:dyDescent="0.35">
      <c r="A510" s="1"/>
      <c r="B510" s="19"/>
      <c r="C510" s="20"/>
      <c r="D510" s="20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8" x14ac:dyDescent="0.35">
      <c r="A511" s="1"/>
      <c r="B511" s="19"/>
      <c r="C511" s="20"/>
      <c r="D511" s="20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8" x14ac:dyDescent="0.35">
      <c r="A512" s="1"/>
      <c r="B512" s="19"/>
      <c r="C512" s="20"/>
      <c r="D512" s="20"/>
      <c r="E512" s="21"/>
      <c r="F512" s="22"/>
      <c r="G512" s="22"/>
      <c r="H512" s="22"/>
      <c r="I512" s="22"/>
      <c r="J512" s="22"/>
      <c r="K512" s="22"/>
      <c r="L512" s="22"/>
      <c r="M512" s="22"/>
      <c r="N512" s="2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8" x14ac:dyDescent="0.35">
      <c r="A513" s="1"/>
      <c r="B513" s="19"/>
      <c r="C513" s="20"/>
      <c r="D513" s="20"/>
      <c r="E513" s="21"/>
      <c r="F513" s="22"/>
      <c r="G513" s="22"/>
      <c r="H513" s="22"/>
      <c r="I513" s="22"/>
      <c r="J513" s="22"/>
      <c r="K513" s="22"/>
      <c r="L513" s="22"/>
      <c r="M513" s="22"/>
      <c r="N513" s="2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8" x14ac:dyDescent="0.35">
      <c r="A514" s="1"/>
      <c r="B514" s="19"/>
      <c r="C514" s="20"/>
      <c r="D514" s="20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8" x14ac:dyDescent="0.35">
      <c r="A515" s="1"/>
      <c r="B515" s="19"/>
      <c r="C515" s="20"/>
      <c r="D515" s="20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8" x14ac:dyDescent="0.35">
      <c r="A516" s="1"/>
      <c r="B516" s="19"/>
      <c r="C516" s="20"/>
      <c r="D516" s="20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8" x14ac:dyDescent="0.35">
      <c r="A517" s="1"/>
      <c r="B517" s="19"/>
      <c r="C517" s="20"/>
      <c r="D517" s="20"/>
      <c r="E517" s="21"/>
      <c r="F517" s="22"/>
      <c r="G517" s="22"/>
      <c r="H517" s="22"/>
      <c r="I517" s="22"/>
      <c r="J517" s="22"/>
      <c r="K517" s="22"/>
      <c r="L517" s="22"/>
      <c r="M517" s="22"/>
      <c r="N517" s="2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8" x14ac:dyDescent="0.35">
      <c r="A518" s="1"/>
      <c r="B518" s="19"/>
      <c r="C518" s="20"/>
      <c r="D518" s="20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8" x14ac:dyDescent="0.35">
      <c r="A519" s="1"/>
      <c r="B519" s="19"/>
      <c r="C519" s="20"/>
      <c r="D519" s="20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8" x14ac:dyDescent="0.35">
      <c r="A520" s="1"/>
      <c r="B520" s="19"/>
      <c r="C520" s="20"/>
      <c r="D520" s="20"/>
      <c r="E520" s="21"/>
      <c r="F520" s="22"/>
      <c r="G520" s="22"/>
      <c r="H520" s="22"/>
      <c r="I520" s="22"/>
      <c r="J520" s="22"/>
      <c r="K520" s="22"/>
      <c r="L520" s="22"/>
      <c r="M520" s="22"/>
      <c r="N520" s="2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8" x14ac:dyDescent="0.35">
      <c r="A521" s="1"/>
      <c r="B521" s="19"/>
      <c r="C521" s="20"/>
      <c r="D521" s="20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8" x14ac:dyDescent="0.35">
      <c r="A522" s="1"/>
      <c r="B522" s="19"/>
      <c r="C522" s="20"/>
      <c r="D522" s="20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8" x14ac:dyDescent="0.35">
      <c r="A523" s="1"/>
      <c r="B523" s="19"/>
      <c r="C523" s="20"/>
      <c r="D523" s="20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8" x14ac:dyDescent="0.35">
      <c r="A524" s="1"/>
      <c r="B524" s="19"/>
      <c r="C524" s="20"/>
      <c r="D524" s="20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8" x14ac:dyDescent="0.35">
      <c r="A525" s="1"/>
      <c r="B525" s="19"/>
      <c r="C525" s="20"/>
      <c r="D525" s="20"/>
      <c r="E525" s="21"/>
      <c r="F525" s="22"/>
      <c r="G525" s="22"/>
      <c r="H525" s="22"/>
      <c r="I525" s="22"/>
      <c r="J525" s="22"/>
      <c r="K525" s="22"/>
      <c r="L525" s="22"/>
      <c r="M525" s="22"/>
      <c r="N525" s="2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8" x14ac:dyDescent="0.35">
      <c r="A526" s="1"/>
      <c r="B526" s="19"/>
      <c r="C526" s="20"/>
      <c r="D526" s="20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8" x14ac:dyDescent="0.35">
      <c r="A527" s="1"/>
      <c r="B527" s="19"/>
      <c r="C527" s="20"/>
      <c r="D527" s="20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8" x14ac:dyDescent="0.35">
      <c r="A528" s="1"/>
      <c r="B528" s="19"/>
      <c r="C528" s="20"/>
      <c r="D528" s="20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8" x14ac:dyDescent="0.35">
      <c r="A529" s="1"/>
      <c r="B529" s="19"/>
      <c r="C529" s="20"/>
      <c r="D529" s="20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8" x14ac:dyDescent="0.35">
      <c r="A530" s="1"/>
      <c r="B530" s="19"/>
      <c r="C530" s="20"/>
      <c r="D530" s="20"/>
      <c r="E530" s="21"/>
      <c r="F530" s="22"/>
      <c r="G530" s="22"/>
      <c r="H530" s="22"/>
      <c r="I530" s="22"/>
      <c r="J530" s="22"/>
      <c r="K530" s="22"/>
      <c r="L530" s="22"/>
      <c r="M530" s="22"/>
      <c r="N530" s="2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8" x14ac:dyDescent="0.35">
      <c r="A531" s="1"/>
      <c r="B531" s="19"/>
      <c r="C531" s="20"/>
      <c r="D531" s="20"/>
      <c r="E531" s="21"/>
      <c r="F531" s="22"/>
      <c r="G531" s="22"/>
      <c r="H531" s="22"/>
      <c r="I531" s="22"/>
      <c r="J531" s="22"/>
      <c r="K531" s="22"/>
      <c r="L531" s="22"/>
      <c r="M531" s="22"/>
      <c r="N531" s="2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8" x14ac:dyDescent="0.35">
      <c r="A532" s="1"/>
      <c r="B532" s="19"/>
      <c r="C532" s="20"/>
      <c r="D532" s="20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8" x14ac:dyDescent="0.35">
      <c r="A533" s="1"/>
      <c r="B533" s="19"/>
      <c r="C533" s="20"/>
      <c r="D533" s="20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8" x14ac:dyDescent="0.35">
      <c r="A534" s="1"/>
      <c r="B534" s="19"/>
      <c r="C534" s="20"/>
      <c r="D534" s="20"/>
      <c r="E534" s="21"/>
      <c r="F534" s="22"/>
      <c r="G534" s="22"/>
      <c r="H534" s="22"/>
      <c r="I534" s="22"/>
      <c r="J534" s="22"/>
      <c r="K534" s="22"/>
      <c r="L534" s="22"/>
      <c r="M534" s="22"/>
      <c r="N534" s="2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8" x14ac:dyDescent="0.35">
      <c r="A535" s="1"/>
      <c r="B535" s="19"/>
      <c r="C535" s="20"/>
      <c r="D535" s="20"/>
      <c r="E535" s="21"/>
      <c r="F535" s="22"/>
      <c r="G535" s="22"/>
      <c r="H535" s="22"/>
      <c r="I535" s="22"/>
      <c r="J535" s="22"/>
      <c r="K535" s="22"/>
      <c r="L535" s="22"/>
      <c r="M535" s="22"/>
      <c r="N535" s="2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8" x14ac:dyDescent="0.35">
      <c r="A536" s="1"/>
      <c r="B536" s="19"/>
      <c r="C536" s="20"/>
      <c r="D536" s="20"/>
      <c r="E536" s="21"/>
      <c r="F536" s="22"/>
      <c r="G536" s="22"/>
      <c r="H536" s="22"/>
      <c r="I536" s="22"/>
      <c r="J536" s="22"/>
      <c r="K536" s="22"/>
      <c r="L536" s="22"/>
      <c r="M536" s="22"/>
      <c r="N536" s="2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8" x14ac:dyDescent="0.35">
      <c r="A537" s="1"/>
      <c r="B537" s="19"/>
      <c r="C537" s="20"/>
      <c r="D537" s="20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8" x14ac:dyDescent="0.35">
      <c r="A538" s="1"/>
      <c r="B538" s="19"/>
      <c r="C538" s="20"/>
      <c r="D538" s="20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8" x14ac:dyDescent="0.35">
      <c r="A539" s="1"/>
      <c r="B539" s="19"/>
      <c r="C539" s="20"/>
      <c r="D539" s="20"/>
      <c r="E539" s="21"/>
      <c r="F539" s="22"/>
      <c r="G539" s="22"/>
      <c r="H539" s="22"/>
      <c r="I539" s="22"/>
      <c r="J539" s="22"/>
      <c r="K539" s="22"/>
      <c r="L539" s="22"/>
      <c r="M539" s="22"/>
      <c r="N539" s="2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8" x14ac:dyDescent="0.35">
      <c r="A540" s="1"/>
      <c r="B540" s="19"/>
      <c r="C540" s="20"/>
      <c r="D540" s="20"/>
      <c r="E540" s="21"/>
      <c r="F540" s="22"/>
      <c r="G540" s="22"/>
      <c r="H540" s="22"/>
      <c r="I540" s="22"/>
      <c r="J540" s="22"/>
      <c r="K540" s="22"/>
      <c r="L540" s="22"/>
      <c r="M540" s="22"/>
      <c r="N540" s="2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8" x14ac:dyDescent="0.35">
      <c r="A541" s="1"/>
      <c r="B541" s="19"/>
      <c r="C541" s="20"/>
      <c r="D541" s="20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8" x14ac:dyDescent="0.35">
      <c r="A542" s="1"/>
      <c r="B542" s="19"/>
      <c r="C542" s="20"/>
      <c r="D542" s="20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8" x14ac:dyDescent="0.35">
      <c r="A543" s="1"/>
      <c r="B543" s="19"/>
      <c r="C543" s="20"/>
      <c r="D543" s="20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8" x14ac:dyDescent="0.35">
      <c r="A544" s="1"/>
      <c r="B544" s="19"/>
      <c r="C544" s="20"/>
      <c r="D544" s="20"/>
      <c r="E544" s="21"/>
      <c r="F544" s="22"/>
      <c r="G544" s="22"/>
      <c r="H544" s="22"/>
      <c r="I544" s="22"/>
      <c r="J544" s="22"/>
      <c r="K544" s="22"/>
      <c r="L544" s="22"/>
      <c r="M544" s="22"/>
      <c r="N544" s="2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8" x14ac:dyDescent="0.35">
      <c r="A545" s="1"/>
      <c r="B545" s="19"/>
      <c r="C545" s="20"/>
      <c r="D545" s="20"/>
      <c r="E545" s="21"/>
      <c r="F545" s="22"/>
      <c r="G545" s="22"/>
      <c r="H545" s="22"/>
      <c r="I545" s="22"/>
      <c r="J545" s="22"/>
      <c r="K545" s="22"/>
      <c r="L545" s="22"/>
      <c r="M545" s="22"/>
      <c r="N545" s="2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8" x14ac:dyDescent="0.35">
      <c r="A546" s="1"/>
      <c r="B546" s="19"/>
      <c r="C546" s="20"/>
      <c r="D546" s="20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8" x14ac:dyDescent="0.35">
      <c r="A547" s="1"/>
      <c r="B547" s="19"/>
      <c r="C547" s="20"/>
      <c r="D547" s="20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8" x14ac:dyDescent="0.35">
      <c r="A548" s="1"/>
      <c r="B548" s="19"/>
      <c r="C548" s="20"/>
      <c r="D548" s="20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8" x14ac:dyDescent="0.35">
      <c r="A549" s="1"/>
      <c r="B549" s="19"/>
      <c r="C549" s="20"/>
      <c r="D549" s="20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8" x14ac:dyDescent="0.35">
      <c r="A550" s="1"/>
      <c r="B550" s="19"/>
      <c r="C550" s="20"/>
      <c r="D550" s="20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8" x14ac:dyDescent="0.35">
      <c r="A551" s="1"/>
      <c r="B551" s="19"/>
      <c r="C551" s="20"/>
      <c r="D551" s="20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8" x14ac:dyDescent="0.35">
      <c r="A552" s="1"/>
      <c r="B552" s="19"/>
      <c r="C552" s="20"/>
      <c r="D552" s="20"/>
      <c r="E552" s="21"/>
      <c r="F552" s="22"/>
      <c r="G552" s="22"/>
      <c r="H552" s="22"/>
      <c r="I552" s="22"/>
      <c r="J552" s="22"/>
      <c r="K552" s="22"/>
      <c r="L552" s="22"/>
      <c r="M552" s="22"/>
      <c r="N552" s="2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8" x14ac:dyDescent="0.35">
      <c r="A553" s="1"/>
      <c r="B553" s="19"/>
      <c r="C553" s="20"/>
      <c r="D553" s="20"/>
      <c r="E553" s="21"/>
      <c r="F553" s="22"/>
      <c r="G553" s="22"/>
      <c r="H553" s="22"/>
      <c r="I553" s="22"/>
      <c r="J553" s="22"/>
      <c r="K553" s="22"/>
      <c r="L553" s="22"/>
      <c r="M553" s="22"/>
      <c r="N553" s="2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8" x14ac:dyDescent="0.35">
      <c r="A554" s="1"/>
      <c r="B554" s="19"/>
      <c r="C554" s="20"/>
      <c r="D554" s="20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8" x14ac:dyDescent="0.35">
      <c r="A555" s="1"/>
      <c r="B555" s="19"/>
      <c r="C555" s="20"/>
      <c r="D555" s="20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8" x14ac:dyDescent="0.35">
      <c r="A556" s="1"/>
      <c r="B556" s="19"/>
      <c r="C556" s="20"/>
      <c r="D556" s="20"/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8" x14ac:dyDescent="0.35">
      <c r="A557" s="1"/>
      <c r="B557" s="19"/>
      <c r="C557" s="20"/>
      <c r="D557" s="20"/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8" x14ac:dyDescent="0.35">
      <c r="A558" s="1"/>
      <c r="B558" s="19"/>
      <c r="C558" s="20"/>
      <c r="D558" s="20"/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8" x14ac:dyDescent="0.35">
      <c r="A559" s="1"/>
      <c r="B559" s="19"/>
      <c r="C559" s="20"/>
      <c r="D559" s="20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8" x14ac:dyDescent="0.35">
      <c r="A560" s="1"/>
      <c r="B560" s="19"/>
      <c r="C560" s="20"/>
      <c r="D560" s="20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8" x14ac:dyDescent="0.35">
      <c r="A561" s="1"/>
      <c r="B561" s="19"/>
      <c r="C561" s="20"/>
      <c r="D561" s="20"/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8" x14ac:dyDescent="0.35">
      <c r="A562" s="1"/>
      <c r="B562" s="19"/>
      <c r="C562" s="20"/>
      <c r="D562" s="20"/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8" x14ac:dyDescent="0.35">
      <c r="A563" s="1"/>
      <c r="B563" s="19"/>
      <c r="C563" s="20"/>
      <c r="D563" s="20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8" x14ac:dyDescent="0.35">
      <c r="A564" s="1"/>
      <c r="B564" s="19"/>
      <c r="C564" s="20"/>
      <c r="D564" s="20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8" x14ac:dyDescent="0.35">
      <c r="A565" s="1"/>
      <c r="B565" s="19"/>
      <c r="C565" s="20"/>
      <c r="D565" s="20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8" x14ac:dyDescent="0.35">
      <c r="A566" s="1"/>
      <c r="B566" s="19"/>
      <c r="C566" s="20"/>
      <c r="D566" s="20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8" x14ac:dyDescent="0.35">
      <c r="A567" s="1"/>
      <c r="B567" s="19"/>
      <c r="C567" s="20"/>
      <c r="D567" s="20"/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8" x14ac:dyDescent="0.35">
      <c r="A568" s="1"/>
      <c r="B568" s="19"/>
      <c r="C568" s="20"/>
      <c r="D568" s="20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8" x14ac:dyDescent="0.35">
      <c r="A569" s="1"/>
      <c r="B569" s="19"/>
      <c r="C569" s="20"/>
      <c r="D569" s="20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8" x14ac:dyDescent="0.35">
      <c r="A570" s="1"/>
      <c r="B570" s="19"/>
      <c r="C570" s="20"/>
      <c r="D570" s="20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8" x14ac:dyDescent="0.35">
      <c r="A571" s="1"/>
      <c r="B571" s="19"/>
      <c r="C571" s="20"/>
      <c r="D571" s="20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8" x14ac:dyDescent="0.35">
      <c r="A572" s="1"/>
      <c r="B572" s="19"/>
      <c r="C572" s="20"/>
      <c r="D572" s="20"/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8" x14ac:dyDescent="0.35">
      <c r="A573" s="1"/>
      <c r="B573" s="19"/>
      <c r="C573" s="20"/>
      <c r="D573" s="20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8" x14ac:dyDescent="0.35">
      <c r="A574" s="1"/>
      <c r="B574" s="19"/>
      <c r="C574" s="20"/>
      <c r="D574" s="20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8" x14ac:dyDescent="0.35">
      <c r="A575" s="1"/>
      <c r="B575" s="19"/>
      <c r="C575" s="20"/>
      <c r="D575" s="20"/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8" x14ac:dyDescent="0.35">
      <c r="A576" s="1"/>
      <c r="B576" s="19"/>
      <c r="C576" s="20"/>
      <c r="D576" s="20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8" x14ac:dyDescent="0.35">
      <c r="A577" s="1"/>
      <c r="B577" s="19"/>
      <c r="C577" s="20"/>
      <c r="D577" s="20"/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8" x14ac:dyDescent="0.35">
      <c r="A578" s="1"/>
      <c r="B578" s="19"/>
      <c r="C578" s="20"/>
      <c r="D578" s="20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8" x14ac:dyDescent="0.35">
      <c r="A579" s="1"/>
      <c r="B579" s="19"/>
      <c r="C579" s="20"/>
      <c r="D579" s="20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8" x14ac:dyDescent="0.35">
      <c r="A580" s="1"/>
      <c r="B580" s="19"/>
      <c r="C580" s="20"/>
      <c r="D580" s="20"/>
      <c r="E580" s="21"/>
      <c r="F580" s="22"/>
      <c r="G580" s="22"/>
      <c r="H580" s="22"/>
      <c r="I580" s="22"/>
      <c r="J580" s="22"/>
      <c r="K580" s="22"/>
      <c r="L580" s="22"/>
      <c r="M580" s="22"/>
      <c r="N580" s="2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8" x14ac:dyDescent="0.35">
      <c r="A581" s="1"/>
      <c r="B581" s="19"/>
      <c r="C581" s="20"/>
      <c r="D581" s="20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8" x14ac:dyDescent="0.35">
      <c r="A582" s="1"/>
      <c r="B582" s="19"/>
      <c r="C582" s="20"/>
      <c r="D582" s="20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8" x14ac:dyDescent="0.35">
      <c r="A583" s="1"/>
      <c r="B583" s="19"/>
      <c r="C583" s="20"/>
      <c r="D583" s="20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8" x14ac:dyDescent="0.35">
      <c r="A584" s="1"/>
      <c r="B584" s="19"/>
      <c r="C584" s="20"/>
      <c r="D584" s="20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8" x14ac:dyDescent="0.35">
      <c r="A585" s="1"/>
      <c r="B585" s="19"/>
      <c r="C585" s="20"/>
      <c r="D585" s="20"/>
      <c r="E585" s="21"/>
      <c r="F585" s="22"/>
      <c r="G585" s="22"/>
      <c r="H585" s="22"/>
      <c r="I585" s="22"/>
      <c r="J585" s="22"/>
      <c r="K585" s="22"/>
      <c r="L585" s="22"/>
      <c r="M585" s="22"/>
      <c r="N585" s="2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8" x14ac:dyDescent="0.35">
      <c r="A586" s="1"/>
      <c r="B586" s="19"/>
      <c r="C586" s="20"/>
      <c r="D586" s="20"/>
      <c r="E586" s="21"/>
      <c r="F586" s="22"/>
      <c r="G586" s="22"/>
      <c r="H586" s="22"/>
      <c r="I586" s="22"/>
      <c r="J586" s="22"/>
      <c r="K586" s="22"/>
      <c r="L586" s="22"/>
      <c r="M586" s="22"/>
      <c r="N586" s="2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8" x14ac:dyDescent="0.35">
      <c r="A587" s="1"/>
      <c r="B587" s="19"/>
      <c r="C587" s="20"/>
      <c r="D587" s="20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8" x14ac:dyDescent="0.35">
      <c r="A588" s="1"/>
      <c r="B588" s="19"/>
      <c r="C588" s="20"/>
      <c r="D588" s="20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8" x14ac:dyDescent="0.35">
      <c r="A589" s="1"/>
      <c r="B589" s="19"/>
      <c r="C589" s="20"/>
      <c r="D589" s="20"/>
      <c r="E589" s="21"/>
      <c r="F589" s="22"/>
      <c r="G589" s="22"/>
      <c r="H589" s="22"/>
      <c r="I589" s="22"/>
      <c r="J589" s="22"/>
      <c r="K589" s="22"/>
      <c r="L589" s="22"/>
      <c r="M589" s="22"/>
      <c r="N589" s="2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8" x14ac:dyDescent="0.35">
      <c r="A590" s="1"/>
      <c r="B590" s="19"/>
      <c r="C590" s="20"/>
      <c r="D590" s="20"/>
      <c r="E590" s="21"/>
      <c r="F590" s="22"/>
      <c r="G590" s="22"/>
      <c r="H590" s="22"/>
      <c r="I590" s="22"/>
      <c r="J590" s="22"/>
      <c r="K590" s="22"/>
      <c r="L590" s="22"/>
      <c r="M590" s="22"/>
      <c r="N590" s="2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8" x14ac:dyDescent="0.35">
      <c r="A591" s="1"/>
      <c r="B591" s="19"/>
      <c r="C591" s="20"/>
      <c r="D591" s="20"/>
      <c r="E591" s="21"/>
      <c r="F591" s="22"/>
      <c r="G591" s="22"/>
      <c r="H591" s="22"/>
      <c r="I591" s="22"/>
      <c r="J591" s="22"/>
      <c r="K591" s="22"/>
      <c r="L591" s="22"/>
      <c r="M591" s="22"/>
      <c r="N591" s="2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8" x14ac:dyDescent="0.35">
      <c r="A592" s="1"/>
      <c r="B592" s="19"/>
      <c r="C592" s="20"/>
      <c r="D592" s="20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8" x14ac:dyDescent="0.35">
      <c r="A593" s="1"/>
      <c r="B593" s="19"/>
      <c r="C593" s="20"/>
      <c r="D593" s="20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8" x14ac:dyDescent="0.35">
      <c r="A594" s="1"/>
      <c r="B594" s="19"/>
      <c r="C594" s="20"/>
      <c r="D594" s="20"/>
      <c r="E594" s="21"/>
      <c r="F594" s="22"/>
      <c r="G594" s="22"/>
      <c r="H594" s="22"/>
      <c r="I594" s="22"/>
      <c r="J594" s="22"/>
      <c r="K594" s="22"/>
      <c r="L594" s="22"/>
      <c r="M594" s="22"/>
      <c r="N594" s="2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8" x14ac:dyDescent="0.35">
      <c r="A595" s="1"/>
      <c r="B595" s="19"/>
      <c r="C595" s="20"/>
      <c r="D595" s="20"/>
      <c r="E595" s="21"/>
      <c r="F595" s="22"/>
      <c r="G595" s="22"/>
      <c r="H595" s="22"/>
      <c r="I595" s="22"/>
      <c r="J595" s="22"/>
      <c r="K595" s="22"/>
      <c r="L595" s="22"/>
      <c r="M595" s="22"/>
      <c r="N595" s="2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8" x14ac:dyDescent="0.35">
      <c r="A596" s="1"/>
      <c r="B596" s="19"/>
      <c r="C596" s="20"/>
      <c r="D596" s="20"/>
      <c r="E596" s="21"/>
      <c r="F596" s="22"/>
      <c r="G596" s="22"/>
      <c r="H596" s="22"/>
      <c r="I596" s="22"/>
      <c r="J596" s="22"/>
      <c r="K596" s="22"/>
      <c r="L596" s="22"/>
      <c r="M596" s="22"/>
      <c r="N596" s="2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8" x14ac:dyDescent="0.35">
      <c r="A597" s="1"/>
      <c r="B597" s="19"/>
      <c r="C597" s="20"/>
      <c r="D597" s="20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8" x14ac:dyDescent="0.35">
      <c r="A598" s="1"/>
      <c r="B598" s="19"/>
      <c r="C598" s="20"/>
      <c r="D598" s="20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8" x14ac:dyDescent="0.35">
      <c r="A599" s="1"/>
      <c r="B599" s="19"/>
      <c r="C599" s="20"/>
      <c r="D599" s="20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8" x14ac:dyDescent="0.35">
      <c r="A600" s="1"/>
      <c r="B600" s="19"/>
      <c r="C600" s="20"/>
      <c r="D600" s="20"/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8" x14ac:dyDescent="0.35">
      <c r="A601" s="1"/>
      <c r="B601" s="19"/>
      <c r="C601" s="20"/>
      <c r="D601" s="20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8" x14ac:dyDescent="0.35">
      <c r="A602" s="1"/>
      <c r="B602" s="19"/>
      <c r="C602" s="20"/>
      <c r="D602" s="20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8" x14ac:dyDescent="0.35">
      <c r="A603" s="1"/>
      <c r="B603" s="19"/>
      <c r="C603" s="20"/>
      <c r="D603" s="20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8" x14ac:dyDescent="0.35">
      <c r="A604" s="1"/>
      <c r="B604" s="19"/>
      <c r="C604" s="20"/>
      <c r="D604" s="20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8" x14ac:dyDescent="0.35">
      <c r="A605" s="1"/>
      <c r="B605" s="19"/>
      <c r="C605" s="20"/>
      <c r="D605" s="20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8" x14ac:dyDescent="0.35">
      <c r="A606" s="1"/>
      <c r="B606" s="19"/>
      <c r="C606" s="20"/>
      <c r="D606" s="20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8" x14ac:dyDescent="0.35">
      <c r="A607" s="1"/>
      <c r="B607" s="19"/>
      <c r="C607" s="20"/>
      <c r="D607" s="20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8" x14ac:dyDescent="0.35">
      <c r="A608" s="1"/>
      <c r="B608" s="19"/>
      <c r="C608" s="20"/>
      <c r="D608" s="20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8" x14ac:dyDescent="0.35">
      <c r="A609" s="1"/>
      <c r="B609" s="19"/>
      <c r="C609" s="20"/>
      <c r="D609" s="20"/>
      <c r="E609" s="21"/>
      <c r="F609" s="22"/>
      <c r="G609" s="22"/>
      <c r="H609" s="22"/>
      <c r="I609" s="22"/>
      <c r="J609" s="22"/>
      <c r="K609" s="22"/>
      <c r="L609" s="22"/>
      <c r="M609" s="22"/>
      <c r="N609" s="2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8" x14ac:dyDescent="0.35">
      <c r="A610" s="1"/>
      <c r="B610" s="19"/>
      <c r="C610" s="20"/>
      <c r="D610" s="20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8" x14ac:dyDescent="0.35">
      <c r="A611" s="1"/>
      <c r="B611" s="19"/>
      <c r="C611" s="20"/>
      <c r="D611" s="20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8" x14ac:dyDescent="0.35">
      <c r="A612" s="1"/>
      <c r="B612" s="19"/>
      <c r="C612" s="20"/>
      <c r="D612" s="20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8" x14ac:dyDescent="0.35">
      <c r="A613" s="1"/>
      <c r="B613" s="19"/>
      <c r="C613" s="20"/>
      <c r="D613" s="20"/>
      <c r="E613" s="21"/>
      <c r="F613" s="22"/>
      <c r="G613" s="22"/>
      <c r="H613" s="22"/>
      <c r="I613" s="22"/>
      <c r="J613" s="22"/>
      <c r="K613" s="22"/>
      <c r="L613" s="22"/>
      <c r="M613" s="22"/>
      <c r="N613" s="2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8" x14ac:dyDescent="0.35">
      <c r="A614" s="1"/>
      <c r="B614" s="19"/>
      <c r="C614" s="20"/>
      <c r="D614" s="20"/>
      <c r="E614" s="21"/>
      <c r="F614" s="22"/>
      <c r="G614" s="22"/>
      <c r="H614" s="22"/>
      <c r="I614" s="22"/>
      <c r="J614" s="22"/>
      <c r="K614" s="22"/>
      <c r="L614" s="22"/>
      <c r="M614" s="22"/>
      <c r="N614" s="2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8" x14ac:dyDescent="0.35">
      <c r="A615" s="1"/>
      <c r="B615" s="19"/>
      <c r="C615" s="20"/>
      <c r="D615" s="20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8" x14ac:dyDescent="0.35">
      <c r="A616" s="1"/>
      <c r="B616" s="19"/>
      <c r="C616" s="20"/>
      <c r="D616" s="20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8" x14ac:dyDescent="0.35">
      <c r="A617" s="1"/>
      <c r="B617" s="19"/>
      <c r="C617" s="20"/>
      <c r="D617" s="20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8" x14ac:dyDescent="0.35">
      <c r="A618" s="1"/>
      <c r="B618" s="19"/>
      <c r="C618" s="20"/>
      <c r="D618" s="20"/>
      <c r="E618" s="21"/>
      <c r="F618" s="22"/>
      <c r="G618" s="22"/>
      <c r="H618" s="22"/>
      <c r="I618" s="22"/>
      <c r="J618" s="22"/>
      <c r="K618" s="22"/>
      <c r="L618" s="22"/>
      <c r="M618" s="22"/>
      <c r="N618" s="2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8" x14ac:dyDescent="0.35">
      <c r="A619" s="1"/>
      <c r="B619" s="19"/>
      <c r="C619" s="20"/>
      <c r="D619" s="20"/>
      <c r="E619" s="21"/>
      <c r="F619" s="22"/>
      <c r="G619" s="22"/>
      <c r="H619" s="22"/>
      <c r="I619" s="22"/>
      <c r="J619" s="22"/>
      <c r="K619" s="22"/>
      <c r="L619" s="22"/>
      <c r="M619" s="22"/>
      <c r="N619" s="2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8" x14ac:dyDescent="0.35">
      <c r="A620" s="1"/>
      <c r="B620" s="19"/>
      <c r="C620" s="20"/>
      <c r="D620" s="20"/>
      <c r="E620" s="21"/>
      <c r="F620" s="22"/>
      <c r="G620" s="22"/>
      <c r="H620" s="22"/>
      <c r="I620" s="22"/>
      <c r="J620" s="22"/>
      <c r="K620" s="22"/>
      <c r="L620" s="22"/>
      <c r="M620" s="22"/>
      <c r="N620" s="2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8" x14ac:dyDescent="0.35">
      <c r="A621" s="1"/>
      <c r="B621" s="19"/>
      <c r="C621" s="20"/>
      <c r="D621" s="20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8" x14ac:dyDescent="0.35">
      <c r="A622" s="1"/>
      <c r="B622" s="19"/>
      <c r="C622" s="20"/>
      <c r="D622" s="20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8" x14ac:dyDescent="0.35">
      <c r="A623" s="1"/>
      <c r="B623" s="19"/>
      <c r="C623" s="20"/>
      <c r="D623" s="20"/>
      <c r="E623" s="21"/>
      <c r="F623" s="22"/>
      <c r="G623" s="22"/>
      <c r="H623" s="22"/>
      <c r="I623" s="22"/>
      <c r="J623" s="22"/>
      <c r="K623" s="22"/>
      <c r="L623" s="22"/>
      <c r="M623" s="22"/>
      <c r="N623" s="2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8" x14ac:dyDescent="0.35">
      <c r="A624" s="1"/>
      <c r="B624" s="19"/>
      <c r="C624" s="20"/>
      <c r="D624" s="20"/>
      <c r="E624" s="21"/>
      <c r="F624" s="22"/>
      <c r="G624" s="22"/>
      <c r="H624" s="22"/>
      <c r="I624" s="22"/>
      <c r="J624" s="22"/>
      <c r="K624" s="22"/>
      <c r="L624" s="22"/>
      <c r="M624" s="22"/>
      <c r="N624" s="2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8" x14ac:dyDescent="0.35">
      <c r="A625" s="1"/>
      <c r="B625" s="19"/>
      <c r="C625" s="20"/>
      <c r="D625" s="20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8" x14ac:dyDescent="0.35">
      <c r="A626" s="1"/>
      <c r="B626" s="19"/>
      <c r="C626" s="20"/>
      <c r="D626" s="20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8" x14ac:dyDescent="0.35">
      <c r="A627" s="1"/>
      <c r="B627" s="19"/>
      <c r="C627" s="20"/>
      <c r="D627" s="20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8" x14ac:dyDescent="0.35">
      <c r="A628" s="1"/>
      <c r="B628" s="19"/>
      <c r="C628" s="20"/>
      <c r="D628" s="20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8" x14ac:dyDescent="0.35">
      <c r="A629" s="1"/>
      <c r="B629" s="19"/>
      <c r="C629" s="20"/>
      <c r="D629" s="20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8" x14ac:dyDescent="0.35">
      <c r="A630" s="1"/>
      <c r="B630" s="19"/>
      <c r="C630" s="20"/>
      <c r="D630" s="20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8" x14ac:dyDescent="0.35">
      <c r="A631" s="1"/>
      <c r="B631" s="19"/>
      <c r="C631" s="20"/>
      <c r="D631" s="20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8" x14ac:dyDescent="0.35">
      <c r="A632" s="1"/>
      <c r="B632" s="19"/>
      <c r="C632" s="20"/>
      <c r="D632" s="20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8" x14ac:dyDescent="0.35">
      <c r="A633" s="1"/>
      <c r="B633" s="19"/>
      <c r="C633" s="20"/>
      <c r="D633" s="20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8" x14ac:dyDescent="0.35">
      <c r="A634" s="1"/>
      <c r="B634" s="19"/>
      <c r="C634" s="20"/>
      <c r="D634" s="20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8" x14ac:dyDescent="0.35">
      <c r="A635" s="1"/>
      <c r="B635" s="19"/>
      <c r="C635" s="20"/>
      <c r="D635" s="20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8" x14ac:dyDescent="0.35">
      <c r="A636" s="1"/>
      <c r="B636" s="19"/>
      <c r="C636" s="20"/>
      <c r="D636" s="20"/>
      <c r="E636" s="21"/>
      <c r="F636" s="22"/>
      <c r="G636" s="22"/>
      <c r="H636" s="22"/>
      <c r="I636" s="22"/>
      <c r="J636" s="22"/>
      <c r="K636" s="22"/>
      <c r="L636" s="22"/>
      <c r="M636" s="22"/>
      <c r="N636" s="2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8" x14ac:dyDescent="0.35">
      <c r="A637" s="1"/>
      <c r="B637" s="19"/>
      <c r="C637" s="20"/>
      <c r="D637" s="20"/>
      <c r="E637" s="21"/>
      <c r="F637" s="22"/>
      <c r="G637" s="22"/>
      <c r="H637" s="22"/>
      <c r="I637" s="22"/>
      <c r="J637" s="22"/>
      <c r="K637" s="22"/>
      <c r="L637" s="22"/>
      <c r="M637" s="22"/>
      <c r="N637" s="2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8" x14ac:dyDescent="0.35">
      <c r="A638" s="1"/>
      <c r="B638" s="19"/>
      <c r="C638" s="20"/>
      <c r="D638" s="20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8" x14ac:dyDescent="0.35">
      <c r="A639" s="1"/>
      <c r="B639" s="19"/>
      <c r="C639" s="20"/>
      <c r="D639" s="20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8" x14ac:dyDescent="0.35">
      <c r="A640" s="1"/>
      <c r="B640" s="19"/>
      <c r="C640" s="20"/>
      <c r="D640" s="20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8" x14ac:dyDescent="0.35">
      <c r="A641" s="1"/>
      <c r="B641" s="19"/>
      <c r="C641" s="20"/>
      <c r="D641" s="20"/>
      <c r="E641" s="21"/>
      <c r="F641" s="22"/>
      <c r="G641" s="22"/>
      <c r="H641" s="22"/>
      <c r="I641" s="22"/>
      <c r="J641" s="22"/>
      <c r="K641" s="22"/>
      <c r="L641" s="22"/>
      <c r="M641" s="22"/>
      <c r="N641" s="2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8" x14ac:dyDescent="0.35">
      <c r="A642" s="1"/>
      <c r="B642" s="19"/>
      <c r="C642" s="20"/>
      <c r="D642" s="20"/>
      <c r="E642" s="21"/>
      <c r="F642" s="22"/>
      <c r="G642" s="22"/>
      <c r="H642" s="22"/>
      <c r="I642" s="22"/>
      <c r="J642" s="22"/>
      <c r="K642" s="22"/>
      <c r="L642" s="22"/>
      <c r="M642" s="22"/>
      <c r="N642" s="2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8" x14ac:dyDescent="0.35">
      <c r="A643" s="1"/>
      <c r="B643" s="19"/>
      <c r="C643" s="20"/>
      <c r="D643" s="20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8" x14ac:dyDescent="0.35">
      <c r="A644" s="1"/>
      <c r="B644" s="19"/>
      <c r="C644" s="20"/>
      <c r="D644" s="20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8" x14ac:dyDescent="0.35">
      <c r="A645" s="1"/>
      <c r="B645" s="19"/>
      <c r="C645" s="20"/>
      <c r="D645" s="20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8" x14ac:dyDescent="0.35">
      <c r="A646" s="1"/>
      <c r="B646" s="19"/>
      <c r="C646" s="20"/>
      <c r="D646" s="20"/>
      <c r="E646" s="21"/>
      <c r="F646" s="22"/>
      <c r="G646" s="22"/>
      <c r="H646" s="22"/>
      <c r="I646" s="22"/>
      <c r="J646" s="22"/>
      <c r="K646" s="22"/>
      <c r="L646" s="22"/>
      <c r="M646" s="22"/>
      <c r="N646" s="2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8" x14ac:dyDescent="0.35">
      <c r="A647" s="1"/>
      <c r="B647" s="19"/>
      <c r="C647" s="20"/>
      <c r="D647" s="20"/>
      <c r="E647" s="21"/>
      <c r="F647" s="22"/>
      <c r="G647" s="22"/>
      <c r="H647" s="22"/>
      <c r="I647" s="22"/>
      <c r="J647" s="22"/>
      <c r="K647" s="22"/>
      <c r="L647" s="22"/>
      <c r="M647" s="22"/>
      <c r="N647" s="2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8" x14ac:dyDescent="0.35">
      <c r="A648" s="1"/>
      <c r="B648" s="19"/>
      <c r="C648" s="20"/>
      <c r="D648" s="20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8" x14ac:dyDescent="0.35">
      <c r="A649" s="1"/>
      <c r="B649" s="19"/>
      <c r="C649" s="20"/>
      <c r="D649" s="20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8" x14ac:dyDescent="0.35">
      <c r="A650" s="1"/>
      <c r="B650" s="19"/>
      <c r="C650" s="20"/>
      <c r="D650" s="20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8" x14ac:dyDescent="0.35">
      <c r="A651" s="1"/>
      <c r="B651" s="19"/>
      <c r="C651" s="20"/>
      <c r="D651" s="20"/>
      <c r="E651" s="21"/>
      <c r="F651" s="22"/>
      <c r="G651" s="22"/>
      <c r="H651" s="22"/>
      <c r="I651" s="22"/>
      <c r="J651" s="22"/>
      <c r="K651" s="22"/>
      <c r="L651" s="22"/>
      <c r="M651" s="22"/>
      <c r="N651" s="2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8" x14ac:dyDescent="0.35">
      <c r="A652" s="1"/>
      <c r="B652" s="19"/>
      <c r="C652" s="20"/>
      <c r="D652" s="20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8" x14ac:dyDescent="0.35">
      <c r="A653" s="1"/>
      <c r="B653" s="19"/>
      <c r="C653" s="20"/>
      <c r="D653" s="20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8" x14ac:dyDescent="0.35">
      <c r="A654" s="1"/>
      <c r="B654" s="19"/>
      <c r="C654" s="20"/>
      <c r="D654" s="20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8" x14ac:dyDescent="0.35">
      <c r="A655" s="1"/>
      <c r="B655" s="19"/>
      <c r="C655" s="20"/>
      <c r="D655" s="20"/>
      <c r="E655" s="21"/>
      <c r="F655" s="22"/>
      <c r="G655" s="22"/>
      <c r="H655" s="22"/>
      <c r="I655" s="22"/>
      <c r="J655" s="22"/>
      <c r="K655" s="22"/>
      <c r="L655" s="22"/>
      <c r="M655" s="22"/>
      <c r="N655" s="2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8" x14ac:dyDescent="0.35">
      <c r="A656" s="1"/>
      <c r="B656" s="19"/>
      <c r="C656" s="20"/>
      <c r="D656" s="20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8" x14ac:dyDescent="0.35">
      <c r="A657" s="1"/>
      <c r="B657" s="19"/>
      <c r="C657" s="20"/>
      <c r="D657" s="20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8" x14ac:dyDescent="0.35">
      <c r="A658" s="1"/>
      <c r="B658" s="19"/>
      <c r="C658" s="20"/>
      <c r="D658" s="20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8" x14ac:dyDescent="0.35">
      <c r="A659" s="1"/>
      <c r="B659" s="19"/>
      <c r="C659" s="20"/>
      <c r="D659" s="20"/>
      <c r="E659" s="21"/>
      <c r="F659" s="22"/>
      <c r="G659" s="22"/>
      <c r="H659" s="22"/>
      <c r="I659" s="22"/>
      <c r="J659" s="22"/>
      <c r="K659" s="22"/>
      <c r="L659" s="22"/>
      <c r="M659" s="22"/>
      <c r="N659" s="2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8" x14ac:dyDescent="0.35">
      <c r="A660" s="1"/>
      <c r="B660" s="19"/>
      <c r="C660" s="20"/>
      <c r="D660" s="20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8" x14ac:dyDescent="0.35">
      <c r="A661" s="1"/>
      <c r="B661" s="19"/>
      <c r="C661" s="20"/>
      <c r="D661" s="20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8" x14ac:dyDescent="0.35">
      <c r="A662" s="1"/>
      <c r="B662" s="19"/>
      <c r="C662" s="20"/>
      <c r="D662" s="20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8" x14ac:dyDescent="0.35">
      <c r="A663" s="1"/>
      <c r="B663" s="19"/>
      <c r="C663" s="20"/>
      <c r="D663" s="20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8" x14ac:dyDescent="0.35">
      <c r="A664" s="1"/>
      <c r="B664" s="19"/>
      <c r="C664" s="20"/>
      <c r="D664" s="20"/>
      <c r="E664" s="21"/>
      <c r="F664" s="22"/>
      <c r="G664" s="22"/>
      <c r="H664" s="22"/>
      <c r="I664" s="22"/>
      <c r="J664" s="22"/>
      <c r="K664" s="22"/>
      <c r="L664" s="22"/>
      <c r="M664" s="22"/>
      <c r="N664" s="2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8" x14ac:dyDescent="0.35">
      <c r="A665" s="1"/>
      <c r="B665" s="19"/>
      <c r="C665" s="20"/>
      <c r="D665" s="20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8" x14ac:dyDescent="0.35">
      <c r="A666" s="1"/>
      <c r="B666" s="19"/>
      <c r="C666" s="20"/>
      <c r="D666" s="20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8" x14ac:dyDescent="0.35">
      <c r="A667" s="1"/>
      <c r="B667" s="19"/>
      <c r="C667" s="20"/>
      <c r="D667" s="20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8" x14ac:dyDescent="0.35">
      <c r="A668" s="1"/>
      <c r="B668" s="19"/>
      <c r="C668" s="20"/>
      <c r="D668" s="20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8" x14ac:dyDescent="0.35">
      <c r="A669" s="1"/>
      <c r="B669" s="19"/>
      <c r="C669" s="20"/>
      <c r="D669" s="20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8" x14ac:dyDescent="0.35">
      <c r="A670" s="1"/>
      <c r="B670" s="19"/>
      <c r="C670" s="20"/>
      <c r="D670" s="20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8" x14ac:dyDescent="0.35">
      <c r="A671" s="1"/>
      <c r="B671" s="19"/>
      <c r="C671" s="20"/>
      <c r="D671" s="20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8" x14ac:dyDescent="0.35">
      <c r="A672" s="1"/>
      <c r="B672" s="19"/>
      <c r="C672" s="20"/>
      <c r="D672" s="20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8" x14ac:dyDescent="0.35">
      <c r="A673" s="1"/>
      <c r="B673" s="19"/>
      <c r="C673" s="20"/>
      <c r="D673" s="20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8" x14ac:dyDescent="0.35">
      <c r="A674" s="1"/>
      <c r="B674" s="19"/>
      <c r="C674" s="20"/>
      <c r="D674" s="20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8" x14ac:dyDescent="0.35">
      <c r="A675" s="1"/>
      <c r="B675" s="19"/>
      <c r="C675" s="20"/>
      <c r="D675" s="20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8" x14ac:dyDescent="0.35">
      <c r="A676" s="1"/>
      <c r="B676" s="19"/>
      <c r="C676" s="20"/>
      <c r="D676" s="20"/>
      <c r="E676" s="21"/>
      <c r="F676" s="22"/>
      <c r="G676" s="22"/>
      <c r="H676" s="22"/>
      <c r="I676" s="22"/>
      <c r="J676" s="22"/>
      <c r="K676" s="22"/>
      <c r="L676" s="22"/>
      <c r="M676" s="22"/>
      <c r="N676" s="2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8" x14ac:dyDescent="0.35">
      <c r="A677" s="1"/>
      <c r="B677" s="19"/>
      <c r="C677" s="20"/>
      <c r="D677" s="20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8" x14ac:dyDescent="0.35">
      <c r="A678" s="1"/>
      <c r="B678" s="19"/>
      <c r="C678" s="20"/>
      <c r="D678" s="20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8" x14ac:dyDescent="0.35">
      <c r="A679" s="1"/>
      <c r="B679" s="19"/>
      <c r="C679" s="20"/>
      <c r="D679" s="20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8" x14ac:dyDescent="0.35">
      <c r="A680" s="1"/>
      <c r="B680" s="19"/>
      <c r="C680" s="20"/>
      <c r="D680" s="20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8" x14ac:dyDescent="0.35">
      <c r="A681" s="1"/>
      <c r="B681" s="19"/>
      <c r="C681" s="20"/>
      <c r="D681" s="20"/>
      <c r="E681" s="21"/>
      <c r="F681" s="22"/>
      <c r="G681" s="22"/>
      <c r="H681" s="22"/>
      <c r="I681" s="22"/>
      <c r="J681" s="22"/>
      <c r="K681" s="22"/>
      <c r="L681" s="22"/>
      <c r="M681" s="22"/>
      <c r="N681" s="2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8" x14ac:dyDescent="0.35">
      <c r="A682" s="1"/>
      <c r="B682" s="19"/>
      <c r="C682" s="20"/>
      <c r="D682" s="20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8" x14ac:dyDescent="0.35">
      <c r="A683" s="1"/>
      <c r="B683" s="19"/>
      <c r="C683" s="20"/>
      <c r="D683" s="20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8" x14ac:dyDescent="0.35">
      <c r="A684" s="1"/>
      <c r="B684" s="19"/>
      <c r="C684" s="20"/>
      <c r="D684" s="20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8" x14ac:dyDescent="0.35">
      <c r="A685" s="1"/>
      <c r="B685" s="19"/>
      <c r="C685" s="20"/>
      <c r="D685" s="20"/>
      <c r="E685" s="21"/>
      <c r="F685" s="22"/>
      <c r="G685" s="22"/>
      <c r="H685" s="22"/>
      <c r="I685" s="22"/>
      <c r="J685" s="22"/>
      <c r="K685" s="22"/>
      <c r="L685" s="22"/>
      <c r="M685" s="22"/>
      <c r="N685" s="2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8" x14ac:dyDescent="0.35">
      <c r="A686" s="1"/>
      <c r="B686" s="19"/>
      <c r="C686" s="20"/>
      <c r="D686" s="20"/>
      <c r="E686" s="21"/>
      <c r="F686" s="22"/>
      <c r="G686" s="22"/>
      <c r="H686" s="22"/>
      <c r="I686" s="22"/>
      <c r="J686" s="22"/>
      <c r="K686" s="22"/>
      <c r="L686" s="22"/>
      <c r="M686" s="22"/>
      <c r="N686" s="2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8" x14ac:dyDescent="0.35">
      <c r="A687" s="1"/>
      <c r="B687" s="19"/>
      <c r="C687" s="20"/>
      <c r="D687" s="20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8" x14ac:dyDescent="0.35">
      <c r="A688" s="1"/>
      <c r="B688" s="19"/>
      <c r="C688" s="20"/>
      <c r="D688" s="20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8" x14ac:dyDescent="0.35">
      <c r="A689" s="1"/>
      <c r="B689" s="19"/>
      <c r="C689" s="20"/>
      <c r="D689" s="20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8" x14ac:dyDescent="0.35">
      <c r="A690" s="1"/>
      <c r="B690" s="19"/>
      <c r="C690" s="20"/>
      <c r="D690" s="20"/>
      <c r="E690" s="21"/>
      <c r="F690" s="22"/>
      <c r="G690" s="22"/>
      <c r="H690" s="22"/>
      <c r="I690" s="22"/>
      <c r="J690" s="22"/>
      <c r="K690" s="22"/>
      <c r="L690" s="22"/>
      <c r="M690" s="22"/>
      <c r="N690" s="2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8" x14ac:dyDescent="0.35">
      <c r="A691" s="1"/>
      <c r="B691" s="19"/>
      <c r="C691" s="20"/>
      <c r="D691" s="20"/>
      <c r="E691" s="21"/>
      <c r="F691" s="22"/>
      <c r="G691" s="22"/>
      <c r="H691" s="22"/>
      <c r="I691" s="22"/>
      <c r="J691" s="22"/>
      <c r="K691" s="22"/>
      <c r="L691" s="22"/>
      <c r="M691" s="22"/>
      <c r="N691" s="2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8" x14ac:dyDescent="0.35">
      <c r="A692" s="1"/>
      <c r="B692" s="19"/>
      <c r="C692" s="20"/>
      <c r="D692" s="20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8" x14ac:dyDescent="0.35">
      <c r="A693" s="1"/>
      <c r="B693" s="19"/>
      <c r="C693" s="20"/>
      <c r="D693" s="20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8" x14ac:dyDescent="0.35">
      <c r="A694" s="1"/>
      <c r="B694" s="19"/>
      <c r="C694" s="20"/>
      <c r="D694" s="20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8" x14ac:dyDescent="0.35">
      <c r="A695" s="1"/>
      <c r="B695" s="19"/>
      <c r="C695" s="20"/>
      <c r="D695" s="20"/>
      <c r="E695" s="21"/>
      <c r="F695" s="22"/>
      <c r="G695" s="22"/>
      <c r="H695" s="22"/>
      <c r="I695" s="22"/>
      <c r="J695" s="22"/>
      <c r="K695" s="22"/>
      <c r="L695" s="22"/>
      <c r="M695" s="22"/>
      <c r="N695" s="2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8" x14ac:dyDescent="0.35">
      <c r="A696" s="1"/>
      <c r="B696" s="19"/>
      <c r="C696" s="20"/>
      <c r="D696" s="20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8" x14ac:dyDescent="0.35">
      <c r="A697" s="1"/>
      <c r="B697" s="19"/>
      <c r="C697" s="20"/>
      <c r="D697" s="20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8" x14ac:dyDescent="0.35">
      <c r="A698" s="1"/>
      <c r="B698" s="19"/>
      <c r="C698" s="20"/>
      <c r="D698" s="20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8" x14ac:dyDescent="0.35">
      <c r="A699" s="1"/>
      <c r="B699" s="19"/>
      <c r="C699" s="20"/>
      <c r="D699" s="20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8" x14ac:dyDescent="0.35">
      <c r="A700" s="1"/>
      <c r="B700" s="19"/>
      <c r="C700" s="20"/>
      <c r="D700" s="20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8" x14ac:dyDescent="0.35">
      <c r="A701" s="1"/>
      <c r="B701" s="19"/>
      <c r="C701" s="20"/>
      <c r="D701" s="20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8" x14ac:dyDescent="0.35">
      <c r="A702" s="1"/>
      <c r="B702" s="19"/>
      <c r="C702" s="20"/>
      <c r="D702" s="20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8" x14ac:dyDescent="0.35">
      <c r="A703" s="1"/>
      <c r="B703" s="19"/>
      <c r="C703" s="20"/>
      <c r="D703" s="20"/>
      <c r="E703" s="21"/>
      <c r="F703" s="22"/>
      <c r="G703" s="22"/>
      <c r="H703" s="22"/>
      <c r="I703" s="22"/>
      <c r="J703" s="22"/>
      <c r="K703" s="22"/>
      <c r="L703" s="22"/>
      <c r="M703" s="22"/>
      <c r="N703" s="2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8" x14ac:dyDescent="0.35">
      <c r="A704" s="1"/>
      <c r="B704" s="19"/>
      <c r="C704" s="20"/>
      <c r="D704" s="20"/>
      <c r="E704" s="21"/>
      <c r="F704" s="22"/>
      <c r="G704" s="22"/>
      <c r="H704" s="22"/>
      <c r="I704" s="22"/>
      <c r="J704" s="22"/>
      <c r="K704" s="22"/>
      <c r="L704" s="22"/>
      <c r="M704" s="22"/>
      <c r="N704" s="2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8" x14ac:dyDescent="0.35">
      <c r="A705" s="1"/>
      <c r="B705" s="19"/>
      <c r="C705" s="20"/>
      <c r="D705" s="20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8" x14ac:dyDescent="0.35">
      <c r="A706" s="1"/>
      <c r="B706" s="19"/>
      <c r="C706" s="20"/>
      <c r="D706" s="20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8" x14ac:dyDescent="0.35">
      <c r="A707" s="1"/>
      <c r="B707" s="19"/>
      <c r="C707" s="20"/>
      <c r="D707" s="20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8" x14ac:dyDescent="0.35">
      <c r="A708" s="1"/>
      <c r="B708" s="19"/>
      <c r="C708" s="20"/>
      <c r="D708" s="20"/>
      <c r="E708" s="21"/>
      <c r="F708" s="22"/>
      <c r="G708" s="22"/>
      <c r="H708" s="22"/>
      <c r="I708" s="22"/>
      <c r="J708" s="22"/>
      <c r="K708" s="22"/>
      <c r="L708" s="22"/>
      <c r="M708" s="22"/>
      <c r="N708" s="2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8" x14ac:dyDescent="0.35">
      <c r="A709" s="1"/>
      <c r="B709" s="19"/>
      <c r="C709" s="20"/>
      <c r="D709" s="20"/>
      <c r="E709" s="21"/>
      <c r="F709" s="22"/>
      <c r="G709" s="22"/>
      <c r="H709" s="22"/>
      <c r="I709" s="22"/>
      <c r="J709" s="22"/>
      <c r="K709" s="22"/>
      <c r="L709" s="22"/>
      <c r="M709" s="22"/>
      <c r="N709" s="2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8" x14ac:dyDescent="0.35">
      <c r="A710" s="1"/>
      <c r="B710" s="19"/>
      <c r="C710" s="20"/>
      <c r="D710" s="20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8" x14ac:dyDescent="0.35">
      <c r="A711" s="1"/>
      <c r="B711" s="19"/>
      <c r="C711" s="20"/>
      <c r="D711" s="20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8" x14ac:dyDescent="0.35">
      <c r="A712" s="1"/>
      <c r="B712" s="19"/>
      <c r="C712" s="20"/>
      <c r="D712" s="20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8" x14ac:dyDescent="0.35">
      <c r="A713" s="1"/>
      <c r="B713" s="19"/>
      <c r="C713" s="20"/>
      <c r="D713" s="20"/>
      <c r="E713" s="21"/>
      <c r="F713" s="22"/>
      <c r="G713" s="22"/>
      <c r="H713" s="22"/>
      <c r="I713" s="22"/>
      <c r="J713" s="22"/>
      <c r="K713" s="22"/>
      <c r="L713" s="22"/>
      <c r="M713" s="22"/>
      <c r="N713" s="2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8" x14ac:dyDescent="0.35">
      <c r="A714" s="1"/>
      <c r="B714" s="19"/>
      <c r="C714" s="20"/>
      <c r="D714" s="20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8" x14ac:dyDescent="0.35">
      <c r="A715" s="1"/>
      <c r="B715" s="19"/>
      <c r="C715" s="20"/>
      <c r="D715" s="20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8" x14ac:dyDescent="0.35">
      <c r="A716" s="1"/>
      <c r="B716" s="19"/>
      <c r="C716" s="20"/>
      <c r="D716" s="20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8" x14ac:dyDescent="0.35">
      <c r="A717" s="1"/>
      <c r="B717" s="19"/>
      <c r="C717" s="20"/>
      <c r="D717" s="20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8" x14ac:dyDescent="0.35">
      <c r="A718" s="1"/>
      <c r="B718" s="19"/>
      <c r="C718" s="20"/>
      <c r="D718" s="20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8" x14ac:dyDescent="0.35">
      <c r="A719" s="1"/>
      <c r="B719" s="19"/>
      <c r="C719" s="20"/>
      <c r="D719" s="20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8" x14ac:dyDescent="0.35">
      <c r="A720" s="1"/>
      <c r="B720" s="19"/>
      <c r="C720" s="20"/>
      <c r="D720" s="20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8" x14ac:dyDescent="0.35">
      <c r="A721" s="1"/>
      <c r="B721" s="19"/>
      <c r="C721" s="20"/>
      <c r="D721" s="20"/>
      <c r="E721" s="21"/>
      <c r="F721" s="22"/>
      <c r="G721" s="22"/>
      <c r="H721" s="22"/>
      <c r="I721" s="22"/>
      <c r="J721" s="22"/>
      <c r="K721" s="22"/>
      <c r="L721" s="22"/>
      <c r="M721" s="22"/>
      <c r="N721" s="2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8" x14ac:dyDescent="0.35">
      <c r="A722" s="1"/>
      <c r="B722" s="19"/>
      <c r="C722" s="20"/>
      <c r="D722" s="20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8" x14ac:dyDescent="0.35">
      <c r="A723" s="1"/>
      <c r="B723" s="19"/>
      <c r="C723" s="20"/>
      <c r="D723" s="20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8" x14ac:dyDescent="0.35">
      <c r="A724" s="1"/>
      <c r="B724" s="19"/>
      <c r="C724" s="20"/>
      <c r="D724" s="20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8" x14ac:dyDescent="0.35">
      <c r="A725" s="1"/>
      <c r="B725" s="19"/>
      <c r="C725" s="20"/>
      <c r="D725" s="20"/>
      <c r="E725" s="21"/>
      <c r="F725" s="22"/>
      <c r="G725" s="22"/>
      <c r="H725" s="22"/>
      <c r="I725" s="22"/>
      <c r="J725" s="22"/>
      <c r="K725" s="22"/>
      <c r="L725" s="22"/>
      <c r="M725" s="22"/>
      <c r="N725" s="2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8" x14ac:dyDescent="0.35">
      <c r="A726" s="1"/>
      <c r="B726" s="19"/>
      <c r="C726" s="20"/>
      <c r="D726" s="20"/>
      <c r="E726" s="21"/>
      <c r="F726" s="22"/>
      <c r="G726" s="22"/>
      <c r="H726" s="22"/>
      <c r="I726" s="22"/>
      <c r="J726" s="22"/>
      <c r="K726" s="22"/>
      <c r="L726" s="22"/>
      <c r="M726" s="22"/>
      <c r="N726" s="2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8" x14ac:dyDescent="0.35">
      <c r="A727" s="1"/>
      <c r="B727" s="19"/>
      <c r="C727" s="20"/>
      <c r="D727" s="20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8" x14ac:dyDescent="0.35">
      <c r="A728" s="1"/>
      <c r="B728" s="19"/>
      <c r="C728" s="20"/>
      <c r="D728" s="20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8" x14ac:dyDescent="0.35">
      <c r="A729" s="1"/>
      <c r="B729" s="19"/>
      <c r="C729" s="20"/>
      <c r="D729" s="20"/>
      <c r="E729" s="21"/>
      <c r="F729" s="22"/>
      <c r="G729" s="22"/>
      <c r="H729" s="22"/>
      <c r="I729" s="22"/>
      <c r="J729" s="22"/>
      <c r="K729" s="22"/>
      <c r="L729" s="22"/>
      <c r="M729" s="22"/>
      <c r="N729" s="2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8" x14ac:dyDescent="0.35">
      <c r="A730" s="1"/>
      <c r="B730" s="19"/>
      <c r="C730" s="20"/>
      <c r="D730" s="20"/>
      <c r="E730" s="21"/>
      <c r="F730" s="22"/>
      <c r="G730" s="22"/>
      <c r="H730" s="22"/>
      <c r="I730" s="22"/>
      <c r="J730" s="22"/>
      <c r="K730" s="22"/>
      <c r="L730" s="22"/>
      <c r="M730" s="22"/>
      <c r="N730" s="2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8" x14ac:dyDescent="0.35">
      <c r="A731" s="1"/>
      <c r="B731" s="19"/>
      <c r="C731" s="20"/>
      <c r="D731" s="20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8" x14ac:dyDescent="0.35">
      <c r="A732" s="1"/>
      <c r="B732" s="19"/>
      <c r="C732" s="20"/>
      <c r="D732" s="20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8" x14ac:dyDescent="0.35">
      <c r="A733" s="1"/>
      <c r="B733" s="19"/>
      <c r="C733" s="20"/>
      <c r="D733" s="20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8" x14ac:dyDescent="0.35">
      <c r="A734" s="1"/>
      <c r="B734" s="19"/>
      <c r="C734" s="20"/>
      <c r="D734" s="20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8" x14ac:dyDescent="0.35">
      <c r="A735" s="1"/>
      <c r="B735" s="19"/>
      <c r="C735" s="20"/>
      <c r="D735" s="20"/>
      <c r="E735" s="21"/>
      <c r="F735" s="22"/>
      <c r="G735" s="22"/>
      <c r="H735" s="22"/>
      <c r="I735" s="22"/>
      <c r="J735" s="22"/>
      <c r="K735" s="22"/>
      <c r="L735" s="22"/>
      <c r="M735" s="22"/>
      <c r="N735" s="2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8" x14ac:dyDescent="0.35">
      <c r="A736" s="1"/>
      <c r="B736" s="19"/>
      <c r="C736" s="20"/>
      <c r="D736" s="20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8" x14ac:dyDescent="0.35">
      <c r="A737" s="1"/>
      <c r="B737" s="19"/>
      <c r="C737" s="20"/>
      <c r="D737" s="20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8" x14ac:dyDescent="0.35">
      <c r="A738" s="1"/>
      <c r="B738" s="19"/>
      <c r="C738" s="20"/>
      <c r="D738" s="20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8" x14ac:dyDescent="0.35">
      <c r="A739" s="1"/>
      <c r="B739" s="19"/>
      <c r="C739" s="20"/>
      <c r="D739" s="20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8" x14ac:dyDescent="0.35">
      <c r="A740" s="1"/>
      <c r="B740" s="19"/>
      <c r="C740" s="20"/>
      <c r="D740" s="20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8" x14ac:dyDescent="0.35">
      <c r="A741" s="1"/>
      <c r="B741" s="19"/>
      <c r="C741" s="20"/>
      <c r="D741" s="20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8" x14ac:dyDescent="0.35">
      <c r="A742" s="1"/>
      <c r="B742" s="19"/>
      <c r="C742" s="20"/>
      <c r="D742" s="20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8" x14ac:dyDescent="0.35">
      <c r="A743" s="1"/>
      <c r="B743" s="19"/>
      <c r="C743" s="20"/>
      <c r="D743" s="20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8" x14ac:dyDescent="0.35">
      <c r="A744" s="1"/>
      <c r="B744" s="19"/>
      <c r="C744" s="20"/>
      <c r="D744" s="20"/>
      <c r="E744" s="21"/>
      <c r="F744" s="22"/>
      <c r="G744" s="22"/>
      <c r="H744" s="22"/>
      <c r="I744" s="22"/>
      <c r="J744" s="22"/>
      <c r="K744" s="22"/>
      <c r="L744" s="22"/>
      <c r="M744" s="22"/>
      <c r="N744" s="2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8" x14ac:dyDescent="0.35">
      <c r="A745" s="1"/>
      <c r="B745" s="19"/>
      <c r="C745" s="20"/>
      <c r="D745" s="20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8" x14ac:dyDescent="0.35">
      <c r="A746" s="1"/>
      <c r="B746" s="19"/>
      <c r="C746" s="20"/>
      <c r="D746" s="20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8" x14ac:dyDescent="0.35">
      <c r="A747" s="1"/>
      <c r="B747" s="19"/>
      <c r="C747" s="20"/>
      <c r="D747" s="20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8" x14ac:dyDescent="0.35">
      <c r="A748" s="1"/>
      <c r="B748" s="19"/>
      <c r="C748" s="20"/>
      <c r="D748" s="20"/>
      <c r="E748" s="21"/>
      <c r="F748" s="22"/>
      <c r="G748" s="22"/>
      <c r="H748" s="22"/>
      <c r="I748" s="22"/>
      <c r="J748" s="22"/>
      <c r="K748" s="22"/>
      <c r="L748" s="22"/>
      <c r="M748" s="22"/>
      <c r="N748" s="2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8" x14ac:dyDescent="0.35">
      <c r="A749" s="1"/>
      <c r="B749" s="19"/>
      <c r="C749" s="20"/>
      <c r="D749" s="20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8" x14ac:dyDescent="0.35">
      <c r="A750" s="1"/>
      <c r="B750" s="19"/>
      <c r="C750" s="20"/>
      <c r="D750" s="20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8" x14ac:dyDescent="0.35">
      <c r="A751" s="1"/>
      <c r="B751" s="19"/>
      <c r="C751" s="20"/>
      <c r="D751" s="20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8" x14ac:dyDescent="0.35">
      <c r="A752" s="1"/>
      <c r="B752" s="19"/>
      <c r="C752" s="20"/>
      <c r="D752" s="20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8" x14ac:dyDescent="0.35">
      <c r="A753" s="1"/>
      <c r="B753" s="19"/>
      <c r="C753" s="20"/>
      <c r="D753" s="20"/>
      <c r="E753" s="21"/>
      <c r="F753" s="22"/>
      <c r="G753" s="22"/>
      <c r="H753" s="22"/>
      <c r="I753" s="22"/>
      <c r="J753" s="22"/>
      <c r="K753" s="22"/>
      <c r="L753" s="22"/>
      <c r="M753" s="22"/>
      <c r="N753" s="2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8" x14ac:dyDescent="0.35">
      <c r="A754" s="1"/>
      <c r="B754" s="19"/>
      <c r="C754" s="20"/>
      <c r="D754" s="20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8" x14ac:dyDescent="0.35">
      <c r="A755" s="1"/>
      <c r="B755" s="19"/>
      <c r="C755" s="20"/>
      <c r="D755" s="20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8" x14ac:dyDescent="0.35">
      <c r="A756" s="1"/>
      <c r="B756" s="19"/>
      <c r="C756" s="20"/>
      <c r="D756" s="20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8" x14ac:dyDescent="0.35">
      <c r="A757" s="1"/>
      <c r="B757" s="19"/>
      <c r="C757" s="20"/>
      <c r="D757" s="20"/>
      <c r="E757" s="21"/>
      <c r="F757" s="22"/>
      <c r="G757" s="22"/>
      <c r="H757" s="22"/>
      <c r="I757" s="22"/>
      <c r="J757" s="22"/>
      <c r="K757" s="22"/>
      <c r="L757" s="22"/>
      <c r="M757" s="22"/>
      <c r="N757" s="2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8" x14ac:dyDescent="0.35">
      <c r="A758" s="1"/>
      <c r="B758" s="19"/>
      <c r="C758" s="20"/>
      <c r="D758" s="20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8" x14ac:dyDescent="0.35">
      <c r="A759" s="1"/>
      <c r="B759" s="19"/>
      <c r="C759" s="20"/>
      <c r="D759" s="20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8" x14ac:dyDescent="0.35">
      <c r="A760" s="1"/>
      <c r="B760" s="19"/>
      <c r="C760" s="20"/>
      <c r="D760" s="20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8" x14ac:dyDescent="0.35">
      <c r="A761" s="1"/>
      <c r="B761" s="19"/>
      <c r="C761" s="20"/>
      <c r="D761" s="20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8" x14ac:dyDescent="0.35">
      <c r="A762" s="1"/>
      <c r="B762" s="19"/>
      <c r="C762" s="20"/>
      <c r="D762" s="20"/>
      <c r="E762" s="21"/>
      <c r="F762" s="22"/>
      <c r="G762" s="22"/>
      <c r="H762" s="22"/>
      <c r="I762" s="22"/>
      <c r="J762" s="22"/>
      <c r="K762" s="22"/>
      <c r="L762" s="22"/>
      <c r="M762" s="22"/>
      <c r="N762" s="2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8" x14ac:dyDescent="0.35">
      <c r="A763" s="1"/>
      <c r="B763" s="19"/>
      <c r="C763" s="20"/>
      <c r="D763" s="20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8" x14ac:dyDescent="0.35">
      <c r="A764" s="1"/>
      <c r="B764" s="19"/>
      <c r="C764" s="20"/>
      <c r="D764" s="20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8" x14ac:dyDescent="0.35">
      <c r="A765" s="1"/>
      <c r="B765" s="19"/>
      <c r="C765" s="20"/>
      <c r="D765" s="20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8" x14ac:dyDescent="0.35">
      <c r="A766" s="1"/>
      <c r="B766" s="19"/>
      <c r="C766" s="20"/>
      <c r="D766" s="20"/>
      <c r="E766" s="21"/>
      <c r="F766" s="22"/>
      <c r="G766" s="22"/>
      <c r="H766" s="22"/>
      <c r="I766" s="22"/>
      <c r="J766" s="22"/>
      <c r="K766" s="22"/>
      <c r="L766" s="22"/>
      <c r="M766" s="22"/>
      <c r="N766" s="2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8" x14ac:dyDescent="0.35">
      <c r="A767" s="1"/>
      <c r="B767" s="19"/>
      <c r="C767" s="20"/>
      <c r="D767" s="20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8" x14ac:dyDescent="0.35">
      <c r="A768" s="1"/>
      <c r="B768" s="19"/>
      <c r="C768" s="20"/>
      <c r="D768" s="20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8" x14ac:dyDescent="0.35">
      <c r="A769" s="1"/>
      <c r="B769" s="19"/>
      <c r="C769" s="20"/>
      <c r="D769" s="20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8" x14ac:dyDescent="0.35">
      <c r="A770" s="1"/>
      <c r="B770" s="19"/>
      <c r="C770" s="20"/>
      <c r="D770" s="20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8" x14ac:dyDescent="0.35">
      <c r="A771" s="1"/>
      <c r="B771" s="19"/>
      <c r="C771" s="20"/>
      <c r="D771" s="20"/>
      <c r="E771" s="21"/>
      <c r="F771" s="22"/>
      <c r="G771" s="22"/>
      <c r="H771" s="22"/>
      <c r="I771" s="22"/>
      <c r="J771" s="22"/>
      <c r="K771" s="22"/>
      <c r="L771" s="22"/>
      <c r="M771" s="22"/>
      <c r="N771" s="2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8" x14ac:dyDescent="0.35">
      <c r="A772" s="1"/>
      <c r="B772" s="19"/>
      <c r="C772" s="20"/>
      <c r="D772" s="20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8" x14ac:dyDescent="0.35">
      <c r="A773" s="1"/>
      <c r="B773" s="19"/>
      <c r="C773" s="20"/>
      <c r="D773" s="20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8" x14ac:dyDescent="0.35">
      <c r="A774" s="1"/>
      <c r="B774" s="19"/>
      <c r="C774" s="20"/>
      <c r="D774" s="20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8" x14ac:dyDescent="0.35">
      <c r="A775" s="1"/>
      <c r="B775" s="19"/>
      <c r="C775" s="20"/>
      <c r="D775" s="20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8" x14ac:dyDescent="0.35">
      <c r="A776" s="1"/>
      <c r="B776" s="19"/>
      <c r="C776" s="20"/>
      <c r="D776" s="20"/>
      <c r="E776" s="21"/>
      <c r="F776" s="22"/>
      <c r="G776" s="22"/>
      <c r="H776" s="22"/>
      <c r="I776" s="22"/>
      <c r="J776" s="22"/>
      <c r="K776" s="22"/>
      <c r="L776" s="22"/>
      <c r="M776" s="22"/>
      <c r="N776" s="2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8" x14ac:dyDescent="0.35">
      <c r="A777" s="1"/>
      <c r="B777" s="19"/>
      <c r="C777" s="20"/>
      <c r="D777" s="20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8" x14ac:dyDescent="0.35">
      <c r="A778" s="1"/>
      <c r="B778" s="19"/>
      <c r="C778" s="20"/>
      <c r="D778" s="20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8" x14ac:dyDescent="0.35">
      <c r="A779" s="1"/>
      <c r="B779" s="19"/>
      <c r="C779" s="20"/>
      <c r="D779" s="20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8" x14ac:dyDescent="0.35">
      <c r="A780" s="1"/>
      <c r="B780" s="19"/>
      <c r="C780" s="20"/>
      <c r="D780" s="20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8" x14ac:dyDescent="0.35">
      <c r="A781" s="1"/>
      <c r="B781" s="19"/>
      <c r="C781" s="20"/>
      <c r="D781" s="20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8" x14ac:dyDescent="0.35">
      <c r="A782" s="1"/>
      <c r="B782" s="19"/>
      <c r="C782" s="20"/>
      <c r="D782" s="20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8" x14ac:dyDescent="0.35">
      <c r="A783" s="1"/>
      <c r="B783" s="19"/>
      <c r="C783" s="20"/>
      <c r="D783" s="20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8" x14ac:dyDescent="0.35">
      <c r="A784" s="1"/>
      <c r="B784" s="19"/>
      <c r="C784" s="20"/>
      <c r="D784" s="20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8" x14ac:dyDescent="0.35">
      <c r="A785" s="1"/>
      <c r="B785" s="19"/>
      <c r="C785" s="20"/>
      <c r="D785" s="20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8" x14ac:dyDescent="0.35">
      <c r="A786" s="1"/>
      <c r="B786" s="19"/>
      <c r="C786" s="20"/>
      <c r="D786" s="20"/>
      <c r="E786" s="21"/>
      <c r="F786" s="22"/>
      <c r="G786" s="22"/>
      <c r="H786" s="22"/>
      <c r="I786" s="22"/>
      <c r="J786" s="22"/>
      <c r="K786" s="22"/>
      <c r="L786" s="22"/>
      <c r="M786" s="22"/>
      <c r="N786" s="2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8" x14ac:dyDescent="0.35">
      <c r="A787" s="1"/>
      <c r="B787" s="19"/>
      <c r="C787" s="20"/>
      <c r="D787" s="20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8" x14ac:dyDescent="0.35">
      <c r="A788" s="1"/>
      <c r="B788" s="19"/>
      <c r="C788" s="20"/>
      <c r="D788" s="20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8" x14ac:dyDescent="0.35">
      <c r="A789" s="1"/>
      <c r="B789" s="19"/>
      <c r="C789" s="20"/>
      <c r="D789" s="20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8" x14ac:dyDescent="0.35">
      <c r="A790" s="1"/>
      <c r="B790" s="19"/>
      <c r="C790" s="20"/>
      <c r="D790" s="20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8" x14ac:dyDescent="0.35">
      <c r="A791" s="1"/>
      <c r="B791" s="19"/>
      <c r="C791" s="20"/>
      <c r="D791" s="20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8" x14ac:dyDescent="0.35">
      <c r="A792" s="1"/>
      <c r="B792" s="19"/>
      <c r="C792" s="20"/>
      <c r="D792" s="20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8" x14ac:dyDescent="0.35">
      <c r="A793" s="1"/>
      <c r="B793" s="19"/>
      <c r="C793" s="20"/>
      <c r="D793" s="20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8" x14ac:dyDescent="0.35">
      <c r="A794" s="1"/>
      <c r="B794" s="19"/>
      <c r="C794" s="20"/>
      <c r="D794" s="20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8" x14ac:dyDescent="0.35">
      <c r="A795" s="1"/>
      <c r="B795" s="19"/>
      <c r="C795" s="20"/>
      <c r="D795" s="20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8" x14ac:dyDescent="0.35">
      <c r="A796" s="1"/>
      <c r="B796" s="19"/>
      <c r="C796" s="20"/>
      <c r="D796" s="20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8" x14ac:dyDescent="0.35">
      <c r="A797" s="1"/>
      <c r="B797" s="19"/>
      <c r="C797" s="20"/>
      <c r="D797" s="20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8" x14ac:dyDescent="0.35">
      <c r="A798" s="1"/>
      <c r="B798" s="19"/>
      <c r="C798" s="20"/>
      <c r="D798" s="20"/>
      <c r="E798" s="21"/>
      <c r="F798" s="22"/>
      <c r="G798" s="22"/>
      <c r="H798" s="22"/>
      <c r="I798" s="22"/>
      <c r="J798" s="22"/>
      <c r="K798" s="22"/>
      <c r="L798" s="22"/>
      <c r="M798" s="22"/>
      <c r="N798" s="2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8" x14ac:dyDescent="0.35">
      <c r="A799" s="1"/>
      <c r="B799" s="19"/>
      <c r="C799" s="20"/>
      <c r="D799" s="20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8" x14ac:dyDescent="0.35">
      <c r="A800" s="1"/>
      <c r="B800" s="19"/>
      <c r="C800" s="20"/>
      <c r="D800" s="20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8" x14ac:dyDescent="0.35">
      <c r="A801" s="1"/>
      <c r="B801" s="19"/>
      <c r="C801" s="20"/>
      <c r="D801" s="20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8" x14ac:dyDescent="0.35">
      <c r="A802" s="1"/>
      <c r="B802" s="19"/>
      <c r="C802" s="20"/>
      <c r="D802" s="20"/>
      <c r="E802" s="21"/>
      <c r="F802" s="22"/>
      <c r="G802" s="22"/>
      <c r="H802" s="22"/>
      <c r="I802" s="22"/>
      <c r="J802" s="22"/>
      <c r="K802" s="22"/>
      <c r="L802" s="22"/>
      <c r="M802" s="22"/>
      <c r="N802" s="2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8" x14ac:dyDescent="0.35">
      <c r="A803" s="1"/>
      <c r="B803" s="19"/>
      <c r="C803" s="20"/>
      <c r="D803" s="20"/>
      <c r="E803" s="21"/>
      <c r="F803" s="22"/>
      <c r="G803" s="22"/>
      <c r="H803" s="22"/>
      <c r="I803" s="22"/>
      <c r="J803" s="22"/>
      <c r="K803" s="22"/>
      <c r="L803" s="22"/>
      <c r="M803" s="22"/>
      <c r="N803" s="2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8" x14ac:dyDescent="0.35">
      <c r="A804" s="1"/>
      <c r="B804" s="19"/>
      <c r="C804" s="20"/>
      <c r="D804" s="20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8" x14ac:dyDescent="0.35">
      <c r="A805" s="1"/>
      <c r="B805" s="19"/>
      <c r="C805" s="20"/>
      <c r="D805" s="20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8" x14ac:dyDescent="0.35">
      <c r="A806" s="1"/>
      <c r="B806" s="19"/>
      <c r="C806" s="20"/>
      <c r="D806" s="20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8" x14ac:dyDescent="0.35">
      <c r="A807" s="1"/>
      <c r="B807" s="19"/>
      <c r="C807" s="20"/>
      <c r="D807" s="20"/>
      <c r="E807" s="21"/>
      <c r="F807" s="22"/>
      <c r="G807" s="22"/>
      <c r="H807" s="22"/>
      <c r="I807" s="22"/>
      <c r="J807" s="22"/>
      <c r="K807" s="22"/>
      <c r="L807" s="22"/>
      <c r="M807" s="22"/>
      <c r="N807" s="2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8" x14ac:dyDescent="0.35">
      <c r="A808" s="1"/>
      <c r="B808" s="19"/>
      <c r="C808" s="20"/>
      <c r="D808" s="20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8" x14ac:dyDescent="0.35">
      <c r="A809" s="1"/>
      <c r="B809" s="19"/>
      <c r="C809" s="20"/>
      <c r="D809" s="20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8" x14ac:dyDescent="0.35">
      <c r="A810" s="1"/>
      <c r="B810" s="19"/>
      <c r="C810" s="20"/>
      <c r="D810" s="20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8" x14ac:dyDescent="0.35">
      <c r="A811" s="1"/>
      <c r="B811" s="19"/>
      <c r="C811" s="20"/>
      <c r="D811" s="20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8" x14ac:dyDescent="0.35">
      <c r="A812" s="1"/>
      <c r="B812" s="19"/>
      <c r="C812" s="20"/>
      <c r="D812" s="20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8" x14ac:dyDescent="0.35">
      <c r="A813" s="1"/>
      <c r="B813" s="19"/>
      <c r="C813" s="20"/>
      <c r="D813" s="20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8" x14ac:dyDescent="0.35">
      <c r="A814" s="1"/>
      <c r="B814" s="19"/>
      <c r="C814" s="20"/>
      <c r="D814" s="20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8" x14ac:dyDescent="0.35">
      <c r="A815" s="1"/>
      <c r="B815" s="19"/>
      <c r="C815" s="20"/>
      <c r="D815" s="20"/>
      <c r="E815" s="21"/>
      <c r="F815" s="22"/>
      <c r="G815" s="22"/>
      <c r="H815" s="22"/>
      <c r="I815" s="22"/>
      <c r="J815" s="22"/>
      <c r="K815" s="22"/>
      <c r="L815" s="22"/>
      <c r="M815" s="22"/>
      <c r="N815" s="2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8" x14ac:dyDescent="0.35">
      <c r="A816" s="1"/>
      <c r="B816" s="19"/>
      <c r="C816" s="20"/>
      <c r="D816" s="20"/>
      <c r="E816" s="21"/>
      <c r="F816" s="22"/>
      <c r="G816" s="22"/>
      <c r="H816" s="22"/>
      <c r="I816" s="22"/>
      <c r="J816" s="22"/>
      <c r="K816" s="22"/>
      <c r="L816" s="22"/>
      <c r="M816" s="22"/>
      <c r="N816" s="2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8" x14ac:dyDescent="0.35">
      <c r="A817" s="1"/>
      <c r="B817" s="19"/>
      <c r="C817" s="20"/>
      <c r="D817" s="20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8" x14ac:dyDescent="0.35">
      <c r="A818" s="1"/>
      <c r="B818" s="19"/>
      <c r="C818" s="20"/>
      <c r="D818" s="20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8" x14ac:dyDescent="0.35">
      <c r="A819" s="1"/>
      <c r="B819" s="19"/>
      <c r="C819" s="20"/>
      <c r="D819" s="20"/>
      <c r="E819" s="21"/>
      <c r="F819" s="22"/>
      <c r="G819" s="22"/>
      <c r="H819" s="22"/>
      <c r="I819" s="22"/>
      <c r="J819" s="22"/>
      <c r="K819" s="22"/>
      <c r="L819" s="22"/>
      <c r="M819" s="22"/>
      <c r="N819" s="2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8" x14ac:dyDescent="0.35">
      <c r="A820" s="1"/>
      <c r="B820" s="19"/>
      <c r="C820" s="20"/>
      <c r="D820" s="20"/>
      <c r="E820" s="21"/>
      <c r="F820" s="22"/>
      <c r="G820" s="22"/>
      <c r="H820" s="22"/>
      <c r="I820" s="22"/>
      <c r="J820" s="22"/>
      <c r="K820" s="22"/>
      <c r="L820" s="22"/>
      <c r="M820" s="22"/>
      <c r="N820" s="2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8" x14ac:dyDescent="0.35">
      <c r="A821" s="1"/>
      <c r="B821" s="19"/>
      <c r="C821" s="20"/>
      <c r="D821" s="20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8" x14ac:dyDescent="0.35">
      <c r="A822" s="1"/>
      <c r="B822" s="19"/>
      <c r="C822" s="20"/>
      <c r="D822" s="20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8" x14ac:dyDescent="0.35">
      <c r="A823" s="1"/>
      <c r="B823" s="19"/>
      <c r="C823" s="20"/>
      <c r="D823" s="20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8" x14ac:dyDescent="0.35">
      <c r="A824" s="1"/>
      <c r="B824" s="19"/>
      <c r="C824" s="20"/>
      <c r="D824" s="20"/>
      <c r="E824" s="21"/>
      <c r="F824" s="22"/>
      <c r="G824" s="22"/>
      <c r="H824" s="22"/>
      <c r="I824" s="22"/>
      <c r="J824" s="22"/>
      <c r="K824" s="22"/>
      <c r="L824" s="22"/>
      <c r="M824" s="22"/>
      <c r="N824" s="2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8" x14ac:dyDescent="0.35">
      <c r="A825" s="1"/>
      <c r="B825" s="19"/>
      <c r="C825" s="20"/>
      <c r="D825" s="20"/>
      <c r="E825" s="21"/>
      <c r="F825" s="22"/>
      <c r="G825" s="22"/>
      <c r="H825" s="22"/>
      <c r="I825" s="22"/>
      <c r="J825" s="22"/>
      <c r="K825" s="22"/>
      <c r="L825" s="22"/>
      <c r="M825" s="22"/>
      <c r="N825" s="2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8" x14ac:dyDescent="0.35">
      <c r="A826" s="1"/>
      <c r="B826" s="19"/>
      <c r="C826" s="20"/>
      <c r="D826" s="20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8" x14ac:dyDescent="0.35">
      <c r="A827" s="1"/>
      <c r="B827" s="19"/>
      <c r="C827" s="20"/>
      <c r="D827" s="20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8" x14ac:dyDescent="0.35">
      <c r="A828" s="1"/>
      <c r="B828" s="19"/>
      <c r="C828" s="20"/>
      <c r="D828" s="20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8" x14ac:dyDescent="0.35">
      <c r="A829" s="1"/>
      <c r="B829" s="19"/>
      <c r="C829" s="20"/>
      <c r="D829" s="20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8" x14ac:dyDescent="0.35">
      <c r="A830" s="1"/>
      <c r="B830" s="19"/>
      <c r="C830" s="20"/>
      <c r="D830" s="20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8" x14ac:dyDescent="0.35">
      <c r="A831" s="1"/>
      <c r="B831" s="19"/>
      <c r="C831" s="20"/>
      <c r="D831" s="20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8" x14ac:dyDescent="0.35">
      <c r="A832" s="1"/>
      <c r="B832" s="19"/>
      <c r="C832" s="20"/>
      <c r="D832" s="20"/>
      <c r="E832" s="21"/>
      <c r="F832" s="22"/>
      <c r="G832" s="22"/>
      <c r="H832" s="22"/>
      <c r="I832" s="22"/>
      <c r="J832" s="22"/>
      <c r="K832" s="22"/>
      <c r="L832" s="22"/>
      <c r="M832" s="22"/>
      <c r="N832" s="2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8" x14ac:dyDescent="0.35">
      <c r="A833" s="1"/>
      <c r="B833" s="19"/>
      <c r="C833" s="20"/>
      <c r="D833" s="20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8" x14ac:dyDescent="0.35">
      <c r="A834" s="1"/>
      <c r="B834" s="19"/>
      <c r="C834" s="20"/>
      <c r="D834" s="20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8" x14ac:dyDescent="0.35">
      <c r="A835" s="1"/>
      <c r="B835" s="19"/>
      <c r="C835" s="20"/>
      <c r="D835" s="20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8" x14ac:dyDescent="0.35">
      <c r="A836" s="1"/>
      <c r="B836" s="19"/>
      <c r="C836" s="20"/>
      <c r="D836" s="20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8" x14ac:dyDescent="0.35">
      <c r="A837" s="1"/>
      <c r="B837" s="19"/>
      <c r="C837" s="20"/>
      <c r="D837" s="20"/>
      <c r="E837" s="21"/>
      <c r="F837" s="22"/>
      <c r="G837" s="22"/>
      <c r="H837" s="22"/>
      <c r="I837" s="22"/>
      <c r="J837" s="22"/>
      <c r="K837" s="22"/>
      <c r="L837" s="22"/>
      <c r="M837" s="22"/>
      <c r="N837" s="2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8" x14ac:dyDescent="0.35">
      <c r="A838" s="1"/>
      <c r="B838" s="19"/>
      <c r="C838" s="20"/>
      <c r="D838" s="20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8" x14ac:dyDescent="0.35">
      <c r="A839" s="1"/>
      <c r="B839" s="19"/>
      <c r="C839" s="20"/>
      <c r="D839" s="20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8" x14ac:dyDescent="0.35">
      <c r="A840" s="1"/>
      <c r="B840" s="19"/>
      <c r="C840" s="20"/>
      <c r="D840" s="20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8" x14ac:dyDescent="0.35">
      <c r="A841" s="1"/>
      <c r="B841" s="19"/>
      <c r="C841" s="20"/>
      <c r="D841" s="20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8" x14ac:dyDescent="0.35">
      <c r="A842" s="1"/>
      <c r="B842" s="19"/>
      <c r="C842" s="20"/>
      <c r="D842" s="20"/>
      <c r="E842" s="21"/>
      <c r="F842" s="22"/>
      <c r="G842" s="22"/>
      <c r="H842" s="22"/>
      <c r="I842" s="22"/>
      <c r="J842" s="22"/>
      <c r="K842" s="22"/>
      <c r="L842" s="22"/>
      <c r="M842" s="22"/>
      <c r="N842" s="2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8" x14ac:dyDescent="0.35">
      <c r="A843" s="1"/>
      <c r="B843" s="19"/>
      <c r="C843" s="20"/>
      <c r="D843" s="20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8" x14ac:dyDescent="0.35">
      <c r="A844" s="1"/>
      <c r="B844" s="19"/>
      <c r="C844" s="20"/>
      <c r="D844" s="20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8" x14ac:dyDescent="0.35">
      <c r="A845" s="1"/>
      <c r="B845" s="19"/>
      <c r="C845" s="20"/>
      <c r="D845" s="20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8" x14ac:dyDescent="0.35">
      <c r="A846" s="1"/>
      <c r="B846" s="19"/>
      <c r="C846" s="20"/>
      <c r="D846" s="20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8" x14ac:dyDescent="0.35">
      <c r="A847" s="1"/>
      <c r="B847" s="19"/>
      <c r="C847" s="20"/>
      <c r="D847" s="20"/>
      <c r="E847" s="21"/>
      <c r="F847" s="22"/>
      <c r="G847" s="22"/>
      <c r="H847" s="22"/>
      <c r="I847" s="22"/>
      <c r="J847" s="22"/>
      <c r="K847" s="22"/>
      <c r="L847" s="22"/>
      <c r="M847" s="22"/>
      <c r="N847" s="2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8" x14ac:dyDescent="0.35">
      <c r="A848" s="1"/>
      <c r="B848" s="19"/>
      <c r="C848" s="20"/>
      <c r="D848" s="20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8" x14ac:dyDescent="0.35">
      <c r="A849" s="1"/>
      <c r="B849" s="19"/>
      <c r="C849" s="20"/>
      <c r="D849" s="20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8" x14ac:dyDescent="0.35">
      <c r="A850" s="1"/>
      <c r="B850" s="19"/>
      <c r="C850" s="20"/>
      <c r="D850" s="20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8" x14ac:dyDescent="0.35">
      <c r="A851" s="1"/>
      <c r="B851" s="19"/>
      <c r="C851" s="20"/>
      <c r="D851" s="20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8" x14ac:dyDescent="0.35">
      <c r="A852" s="1"/>
      <c r="B852" s="19"/>
      <c r="C852" s="20"/>
      <c r="D852" s="20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8" x14ac:dyDescent="0.35">
      <c r="A853" s="1"/>
      <c r="B853" s="19"/>
      <c r="C853" s="20"/>
      <c r="D853" s="20"/>
      <c r="E853" s="21"/>
      <c r="F853" s="22"/>
      <c r="G853" s="22"/>
      <c r="H853" s="22"/>
      <c r="I853" s="22"/>
      <c r="J853" s="22"/>
      <c r="K853" s="22"/>
      <c r="L853" s="22"/>
      <c r="M853" s="22"/>
      <c r="N853" s="2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8" x14ac:dyDescent="0.35">
      <c r="A854" s="1"/>
      <c r="B854" s="19"/>
      <c r="C854" s="20"/>
      <c r="D854" s="20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8" x14ac:dyDescent="0.35">
      <c r="A855" s="1"/>
      <c r="B855" s="19"/>
      <c r="C855" s="20"/>
      <c r="D855" s="20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8" x14ac:dyDescent="0.35">
      <c r="A856" s="1"/>
      <c r="B856" s="19"/>
      <c r="C856" s="20"/>
      <c r="D856" s="20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8" x14ac:dyDescent="0.35">
      <c r="A857" s="1"/>
      <c r="B857" s="19"/>
      <c r="C857" s="20"/>
      <c r="D857" s="20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8" x14ac:dyDescent="0.35">
      <c r="A858" s="1"/>
      <c r="B858" s="19"/>
      <c r="C858" s="20"/>
      <c r="D858" s="20"/>
      <c r="E858" s="21"/>
      <c r="F858" s="22"/>
      <c r="G858" s="22"/>
      <c r="H858" s="22"/>
      <c r="I858" s="22"/>
      <c r="J858" s="22"/>
      <c r="K858" s="22"/>
      <c r="L858" s="22"/>
      <c r="M858" s="22"/>
      <c r="N858" s="2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8" x14ac:dyDescent="0.35">
      <c r="A859" s="1"/>
      <c r="B859" s="19"/>
      <c r="C859" s="20"/>
      <c r="D859" s="20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8" x14ac:dyDescent="0.35">
      <c r="A860" s="1"/>
      <c r="B860" s="19"/>
      <c r="C860" s="20"/>
      <c r="D860" s="20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8" x14ac:dyDescent="0.35">
      <c r="A861" s="1"/>
      <c r="B861" s="19"/>
      <c r="C861" s="20"/>
      <c r="D861" s="20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8" x14ac:dyDescent="0.35">
      <c r="A862" s="1"/>
      <c r="B862" s="19"/>
      <c r="C862" s="20"/>
      <c r="D862" s="20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8" x14ac:dyDescent="0.35">
      <c r="A863" s="1"/>
      <c r="B863" s="19"/>
      <c r="C863" s="20"/>
      <c r="D863" s="20"/>
      <c r="E863" s="21"/>
      <c r="F863" s="22"/>
      <c r="G863" s="22"/>
      <c r="H863" s="22"/>
      <c r="I863" s="22"/>
      <c r="J863" s="22"/>
      <c r="K863" s="22"/>
      <c r="L863" s="22"/>
      <c r="M863" s="22"/>
      <c r="N863" s="2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8" x14ac:dyDescent="0.35">
      <c r="A864" s="1"/>
      <c r="B864" s="19"/>
      <c r="C864" s="20"/>
      <c r="D864" s="20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8" x14ac:dyDescent="0.35">
      <c r="A865" s="1"/>
      <c r="B865" s="19"/>
      <c r="C865" s="20"/>
      <c r="D865" s="20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8" x14ac:dyDescent="0.35">
      <c r="A866" s="1"/>
      <c r="B866" s="19"/>
      <c r="C866" s="20"/>
      <c r="D866" s="20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8" x14ac:dyDescent="0.35">
      <c r="A867" s="1"/>
      <c r="B867" s="19"/>
      <c r="C867" s="20"/>
      <c r="D867" s="20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8" x14ac:dyDescent="0.35">
      <c r="A868" s="1"/>
      <c r="B868" s="19"/>
      <c r="C868" s="20"/>
      <c r="D868" s="20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8" x14ac:dyDescent="0.35">
      <c r="A869" s="1"/>
      <c r="B869" s="19"/>
      <c r="C869" s="20"/>
      <c r="D869" s="20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8" x14ac:dyDescent="0.35">
      <c r="A870" s="1"/>
      <c r="B870" s="19"/>
      <c r="C870" s="20"/>
      <c r="D870" s="20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8" x14ac:dyDescent="0.35">
      <c r="A871" s="1"/>
      <c r="B871" s="19"/>
      <c r="C871" s="20"/>
      <c r="D871" s="20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8" x14ac:dyDescent="0.35">
      <c r="A872" s="1"/>
      <c r="B872" s="19"/>
      <c r="C872" s="20"/>
      <c r="D872" s="20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8" x14ac:dyDescent="0.35">
      <c r="A873" s="1"/>
      <c r="B873" s="19"/>
      <c r="C873" s="20"/>
      <c r="D873" s="20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8" x14ac:dyDescent="0.35">
      <c r="A874" s="1"/>
      <c r="B874" s="19"/>
      <c r="C874" s="20"/>
      <c r="D874" s="20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8" x14ac:dyDescent="0.35">
      <c r="A875" s="1"/>
      <c r="B875" s="19"/>
      <c r="C875" s="20"/>
      <c r="D875" s="20"/>
      <c r="E875" s="21"/>
      <c r="F875" s="22"/>
      <c r="G875" s="22"/>
      <c r="H875" s="22"/>
      <c r="I875" s="22"/>
      <c r="J875" s="22"/>
      <c r="K875" s="22"/>
      <c r="L875" s="22"/>
      <c r="M875" s="22"/>
      <c r="N875" s="2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8" x14ac:dyDescent="0.35">
      <c r="A876" s="1"/>
      <c r="B876" s="19"/>
      <c r="C876" s="20"/>
      <c r="D876" s="20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8" x14ac:dyDescent="0.35">
      <c r="A877" s="1"/>
      <c r="B877" s="19"/>
      <c r="C877" s="20"/>
      <c r="D877" s="20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8" x14ac:dyDescent="0.35">
      <c r="A878" s="1"/>
      <c r="B878" s="19"/>
      <c r="C878" s="20"/>
      <c r="D878" s="20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8" x14ac:dyDescent="0.35">
      <c r="A879" s="1"/>
      <c r="B879" s="19"/>
      <c r="C879" s="20"/>
      <c r="D879" s="20"/>
      <c r="E879" s="21"/>
      <c r="F879" s="22"/>
      <c r="G879" s="22"/>
      <c r="H879" s="22"/>
      <c r="I879" s="22"/>
      <c r="J879" s="22"/>
      <c r="K879" s="22"/>
      <c r="L879" s="22"/>
      <c r="M879" s="22"/>
      <c r="N879" s="2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8" x14ac:dyDescent="0.35">
      <c r="A880" s="1"/>
      <c r="B880" s="19"/>
      <c r="C880" s="20"/>
      <c r="D880" s="20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8" x14ac:dyDescent="0.35">
      <c r="A881" s="1"/>
      <c r="B881" s="19"/>
      <c r="C881" s="20"/>
      <c r="D881" s="20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8" x14ac:dyDescent="0.35">
      <c r="A882" s="1"/>
      <c r="B882" s="19"/>
      <c r="C882" s="20"/>
      <c r="D882" s="20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8" x14ac:dyDescent="0.35">
      <c r="A883" s="1"/>
      <c r="B883" s="19"/>
      <c r="C883" s="20"/>
      <c r="D883" s="20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8" x14ac:dyDescent="0.35">
      <c r="A884" s="1"/>
      <c r="B884" s="19"/>
      <c r="C884" s="20"/>
      <c r="D884" s="20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8" x14ac:dyDescent="0.35">
      <c r="A885" s="1"/>
      <c r="B885" s="19"/>
      <c r="C885" s="20"/>
      <c r="D885" s="20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8" x14ac:dyDescent="0.35">
      <c r="A886" s="1"/>
      <c r="B886" s="19"/>
      <c r="C886" s="20"/>
      <c r="D886" s="20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8" x14ac:dyDescent="0.35">
      <c r="A887" s="1"/>
      <c r="B887" s="19"/>
      <c r="C887" s="20"/>
      <c r="D887" s="20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8" x14ac:dyDescent="0.35">
      <c r="A888" s="1"/>
      <c r="B888" s="19"/>
      <c r="C888" s="20"/>
      <c r="D888" s="20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8" x14ac:dyDescent="0.35">
      <c r="A889" s="1"/>
      <c r="B889" s="19"/>
      <c r="C889" s="20"/>
      <c r="D889" s="20"/>
      <c r="E889" s="21"/>
      <c r="F889" s="22"/>
      <c r="G889" s="22"/>
      <c r="H889" s="22"/>
      <c r="I889" s="22"/>
      <c r="J889" s="22"/>
      <c r="K889" s="22"/>
      <c r="L889" s="22"/>
      <c r="M889" s="22"/>
      <c r="N889" s="2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8" x14ac:dyDescent="0.35">
      <c r="A890" s="1"/>
      <c r="B890" s="19"/>
      <c r="C890" s="20"/>
      <c r="D890" s="20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8" x14ac:dyDescent="0.35">
      <c r="A891" s="1"/>
      <c r="B891" s="19"/>
      <c r="C891" s="20"/>
      <c r="D891" s="20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8" x14ac:dyDescent="0.35">
      <c r="A892" s="1"/>
      <c r="B892" s="19"/>
      <c r="C892" s="20"/>
      <c r="D892" s="20"/>
      <c r="E892" s="21"/>
      <c r="F892" s="22"/>
      <c r="G892" s="22"/>
      <c r="H892" s="22"/>
      <c r="I892" s="22"/>
      <c r="J892" s="22"/>
      <c r="K892" s="22"/>
      <c r="L892" s="22"/>
      <c r="M892" s="22"/>
      <c r="N892" s="2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8" x14ac:dyDescent="0.35">
      <c r="A893" s="1"/>
      <c r="B893" s="19"/>
      <c r="C893" s="20"/>
      <c r="D893" s="20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8" x14ac:dyDescent="0.35">
      <c r="A894" s="1"/>
      <c r="B894" s="19"/>
      <c r="C894" s="20"/>
      <c r="D894" s="20"/>
      <c r="E894" s="21"/>
      <c r="F894" s="22"/>
      <c r="G894" s="22"/>
      <c r="H894" s="22"/>
      <c r="I894" s="22"/>
      <c r="J894" s="22"/>
      <c r="K894" s="22"/>
      <c r="L894" s="22"/>
      <c r="M894" s="22"/>
      <c r="N894" s="2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8" x14ac:dyDescent="0.35">
      <c r="A895" s="1"/>
      <c r="B895" s="19"/>
      <c r="C895" s="20"/>
      <c r="D895" s="20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8" x14ac:dyDescent="0.35">
      <c r="A896" s="1"/>
      <c r="B896" s="19"/>
      <c r="C896" s="20"/>
      <c r="D896" s="20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8" x14ac:dyDescent="0.35">
      <c r="A897" s="1"/>
      <c r="B897" s="19"/>
      <c r="C897" s="20"/>
      <c r="D897" s="20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8" x14ac:dyDescent="0.35">
      <c r="A898" s="1"/>
      <c r="B898" s="19"/>
      <c r="C898" s="20"/>
      <c r="D898" s="20"/>
      <c r="E898" s="21"/>
      <c r="F898" s="22"/>
      <c r="G898" s="22"/>
      <c r="H898" s="22"/>
      <c r="I898" s="22"/>
      <c r="J898" s="22"/>
      <c r="K898" s="22"/>
      <c r="L898" s="22"/>
      <c r="M898" s="22"/>
      <c r="N898" s="2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8" x14ac:dyDescent="0.35">
      <c r="A899" s="1"/>
      <c r="B899" s="19"/>
      <c r="C899" s="20"/>
      <c r="D899" s="20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8" x14ac:dyDescent="0.35">
      <c r="A900" s="1"/>
      <c r="B900" s="19"/>
      <c r="C900" s="20"/>
      <c r="D900" s="20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8" x14ac:dyDescent="0.35">
      <c r="A901" s="1"/>
      <c r="B901" s="19"/>
      <c r="C901" s="20"/>
      <c r="D901" s="20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8" x14ac:dyDescent="0.35">
      <c r="A902" s="1"/>
      <c r="B902" s="19"/>
      <c r="C902" s="20"/>
      <c r="D902" s="20"/>
      <c r="E902" s="21"/>
      <c r="F902" s="22"/>
      <c r="G902" s="22"/>
      <c r="H902" s="22"/>
      <c r="I902" s="22"/>
      <c r="J902" s="22"/>
      <c r="K902" s="22"/>
      <c r="L902" s="22"/>
      <c r="M902" s="22"/>
      <c r="N902" s="2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8" x14ac:dyDescent="0.35">
      <c r="A903" s="1"/>
      <c r="B903" s="19"/>
      <c r="C903" s="20"/>
      <c r="D903" s="20"/>
      <c r="E903" s="21"/>
      <c r="F903" s="22"/>
      <c r="G903" s="22"/>
      <c r="H903" s="22"/>
      <c r="I903" s="22"/>
      <c r="J903" s="22"/>
      <c r="K903" s="22"/>
      <c r="L903" s="22"/>
      <c r="M903" s="22"/>
      <c r="N903" s="2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8" x14ac:dyDescent="0.35">
      <c r="A904" s="1"/>
      <c r="B904" s="19"/>
      <c r="C904" s="20"/>
      <c r="D904" s="20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8" x14ac:dyDescent="0.35">
      <c r="A905" s="1"/>
      <c r="B905" s="19"/>
      <c r="C905" s="20"/>
      <c r="D905" s="20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8" x14ac:dyDescent="0.35">
      <c r="A906" s="1"/>
      <c r="B906" s="19"/>
      <c r="C906" s="20"/>
      <c r="D906" s="20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8" x14ac:dyDescent="0.35">
      <c r="A907" s="1"/>
      <c r="B907" s="19"/>
      <c r="C907" s="20"/>
      <c r="D907" s="20"/>
      <c r="E907" s="21"/>
      <c r="F907" s="22"/>
      <c r="G907" s="22"/>
      <c r="H907" s="22"/>
      <c r="I907" s="22"/>
      <c r="J907" s="22"/>
      <c r="K907" s="22"/>
      <c r="L907" s="22"/>
      <c r="M907" s="22"/>
      <c r="N907" s="2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8" x14ac:dyDescent="0.35">
      <c r="A908" s="1"/>
      <c r="B908" s="19"/>
      <c r="C908" s="20"/>
      <c r="D908" s="20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8" x14ac:dyDescent="0.35">
      <c r="A909" s="1"/>
      <c r="B909" s="19"/>
      <c r="C909" s="20"/>
      <c r="D909" s="20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8" x14ac:dyDescent="0.35">
      <c r="A910" s="1"/>
      <c r="B910" s="19"/>
      <c r="C910" s="20"/>
      <c r="D910" s="20"/>
      <c r="E910" s="21"/>
      <c r="F910" s="22"/>
      <c r="G910" s="22"/>
      <c r="H910" s="22"/>
      <c r="I910" s="22"/>
      <c r="J910" s="22"/>
      <c r="K910" s="22"/>
      <c r="L910" s="22"/>
      <c r="M910" s="22"/>
      <c r="N910" s="2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8" x14ac:dyDescent="0.35">
      <c r="A911" s="1"/>
      <c r="B911" s="19"/>
      <c r="C911" s="20"/>
      <c r="D911" s="20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8" x14ac:dyDescent="0.35">
      <c r="A912" s="1"/>
      <c r="B912" s="19"/>
      <c r="C912" s="20"/>
      <c r="D912" s="20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8" x14ac:dyDescent="0.35">
      <c r="A913" s="1"/>
      <c r="B913" s="19"/>
      <c r="C913" s="20"/>
      <c r="D913" s="20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8" x14ac:dyDescent="0.35">
      <c r="A914" s="1"/>
      <c r="B914" s="19"/>
      <c r="C914" s="20"/>
      <c r="D914" s="20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8" x14ac:dyDescent="0.35">
      <c r="A915" s="1"/>
      <c r="B915" s="19"/>
      <c r="C915" s="20"/>
      <c r="D915" s="20"/>
      <c r="E915" s="21"/>
      <c r="F915" s="22"/>
      <c r="G915" s="22"/>
      <c r="H915" s="22"/>
      <c r="I915" s="22"/>
      <c r="J915" s="22"/>
      <c r="K915" s="22"/>
      <c r="L915" s="22"/>
      <c r="M915" s="22"/>
      <c r="N915" s="2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8" x14ac:dyDescent="0.35">
      <c r="A916" s="1"/>
      <c r="B916" s="19"/>
      <c r="C916" s="20"/>
      <c r="D916" s="20"/>
      <c r="E916" s="21"/>
      <c r="F916" s="22"/>
      <c r="G916" s="22"/>
      <c r="H916" s="22"/>
      <c r="I916" s="22"/>
      <c r="J916" s="22"/>
      <c r="K916" s="22"/>
      <c r="L916" s="22"/>
      <c r="M916" s="22"/>
      <c r="N916" s="2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8" x14ac:dyDescent="0.35">
      <c r="A917" s="1"/>
      <c r="B917" s="19"/>
      <c r="C917" s="20"/>
      <c r="D917" s="20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8" x14ac:dyDescent="0.35">
      <c r="A918" s="1"/>
      <c r="B918" s="19"/>
      <c r="C918" s="20"/>
      <c r="D918" s="20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8" x14ac:dyDescent="0.35">
      <c r="A919" s="1"/>
      <c r="B919" s="19"/>
      <c r="C919" s="20"/>
      <c r="D919" s="20"/>
      <c r="E919" s="21"/>
      <c r="F919" s="22"/>
      <c r="G919" s="22"/>
      <c r="H919" s="22"/>
      <c r="I919" s="22"/>
      <c r="J919" s="22"/>
      <c r="K919" s="22"/>
      <c r="L919" s="22"/>
      <c r="M919" s="22"/>
      <c r="N919" s="2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8" x14ac:dyDescent="0.35">
      <c r="A920" s="1"/>
      <c r="B920" s="19"/>
      <c r="C920" s="20"/>
      <c r="D920" s="20"/>
      <c r="E920" s="21"/>
      <c r="F920" s="22"/>
      <c r="G920" s="22"/>
      <c r="H920" s="22"/>
      <c r="I920" s="22"/>
      <c r="J920" s="22"/>
      <c r="K920" s="22"/>
      <c r="L920" s="22"/>
      <c r="M920" s="22"/>
      <c r="N920" s="2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8" x14ac:dyDescent="0.35">
      <c r="A921" s="1"/>
      <c r="B921" s="19"/>
      <c r="C921" s="20"/>
      <c r="D921" s="20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8" x14ac:dyDescent="0.35">
      <c r="A922" s="1"/>
      <c r="B922" s="19"/>
      <c r="C922" s="20"/>
      <c r="D922" s="20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8" x14ac:dyDescent="0.35">
      <c r="A923" s="1"/>
      <c r="B923" s="19"/>
      <c r="C923" s="20"/>
      <c r="D923" s="20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8" x14ac:dyDescent="0.35">
      <c r="A924" s="1"/>
      <c r="B924" s="19"/>
      <c r="C924" s="20"/>
      <c r="D924" s="20"/>
      <c r="E924" s="21"/>
      <c r="F924" s="22"/>
      <c r="G924" s="22"/>
      <c r="H924" s="22"/>
      <c r="I924" s="22"/>
      <c r="J924" s="22"/>
      <c r="K924" s="22"/>
      <c r="L924" s="22"/>
      <c r="M924" s="22"/>
      <c r="N924" s="2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8" x14ac:dyDescent="0.35">
      <c r="A925" s="1"/>
      <c r="B925" s="19"/>
      <c r="C925" s="20"/>
      <c r="D925" s="20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8" x14ac:dyDescent="0.35">
      <c r="A926" s="1"/>
      <c r="B926" s="19"/>
      <c r="C926" s="20"/>
      <c r="D926" s="20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8" x14ac:dyDescent="0.35">
      <c r="A927" s="1"/>
      <c r="B927" s="19"/>
      <c r="C927" s="20"/>
      <c r="D927" s="20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8" x14ac:dyDescent="0.35">
      <c r="A928" s="1"/>
      <c r="B928" s="19"/>
      <c r="C928" s="20"/>
      <c r="D928" s="20"/>
      <c r="E928" s="21"/>
      <c r="F928" s="22"/>
      <c r="G928" s="22"/>
      <c r="H928" s="22"/>
      <c r="I928" s="22"/>
      <c r="J928" s="22"/>
      <c r="K928" s="22"/>
      <c r="L928" s="22"/>
      <c r="M928" s="22"/>
      <c r="N928" s="2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8" x14ac:dyDescent="0.35">
      <c r="A929" s="1"/>
      <c r="B929" s="19"/>
      <c r="C929" s="20"/>
      <c r="D929" s="20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8" x14ac:dyDescent="0.35">
      <c r="A930" s="1"/>
      <c r="B930" s="19"/>
      <c r="C930" s="20"/>
      <c r="D930" s="20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8" x14ac:dyDescent="0.35">
      <c r="A931" s="1"/>
      <c r="B931" s="19"/>
      <c r="C931" s="20"/>
      <c r="D931" s="20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8" x14ac:dyDescent="0.35">
      <c r="A932" s="1"/>
      <c r="B932" s="19"/>
      <c r="C932" s="20"/>
      <c r="D932" s="20"/>
      <c r="E932" s="21"/>
      <c r="F932" s="22"/>
      <c r="G932" s="22"/>
      <c r="H932" s="22"/>
      <c r="I932" s="22"/>
      <c r="J932" s="22"/>
      <c r="K932" s="22"/>
      <c r="L932" s="22"/>
      <c r="M932" s="22"/>
      <c r="N932" s="2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8" x14ac:dyDescent="0.35">
      <c r="A933" s="1"/>
      <c r="B933" s="19"/>
      <c r="C933" s="20"/>
      <c r="D933" s="20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8" x14ac:dyDescent="0.35">
      <c r="A934" s="1"/>
      <c r="B934" s="19"/>
      <c r="C934" s="20"/>
      <c r="D934" s="20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8" x14ac:dyDescent="0.35">
      <c r="A935" s="1"/>
      <c r="B935" s="19"/>
      <c r="C935" s="20"/>
      <c r="D935" s="20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8" x14ac:dyDescent="0.35">
      <c r="A936" s="1"/>
      <c r="B936" s="19"/>
      <c r="C936" s="20"/>
      <c r="D936" s="20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8" x14ac:dyDescent="0.35">
      <c r="A937" s="1"/>
      <c r="B937" s="19"/>
      <c r="C937" s="20"/>
      <c r="D937" s="20"/>
      <c r="E937" s="21"/>
      <c r="F937" s="22"/>
      <c r="G937" s="22"/>
      <c r="H937" s="22"/>
      <c r="I937" s="22"/>
      <c r="J937" s="22"/>
      <c r="K937" s="22"/>
      <c r="L937" s="22"/>
      <c r="M937" s="22"/>
      <c r="N937" s="2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8" x14ac:dyDescent="0.35">
      <c r="A938" s="1"/>
      <c r="B938" s="19"/>
      <c r="C938" s="20"/>
      <c r="D938" s="20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8" x14ac:dyDescent="0.35">
      <c r="A939" s="1"/>
      <c r="B939" s="19"/>
      <c r="C939" s="20"/>
      <c r="D939" s="20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8" x14ac:dyDescent="0.35">
      <c r="A940" s="1"/>
      <c r="B940" s="19"/>
      <c r="C940" s="20"/>
      <c r="D940" s="20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8" x14ac:dyDescent="0.35">
      <c r="A941" s="1"/>
      <c r="B941" s="19"/>
      <c r="C941" s="20"/>
      <c r="D941" s="20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8" x14ac:dyDescent="0.35">
      <c r="A942" s="1"/>
      <c r="B942" s="19"/>
      <c r="C942" s="20"/>
      <c r="D942" s="20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8" x14ac:dyDescent="0.35">
      <c r="A943" s="1"/>
      <c r="B943" s="19"/>
      <c r="C943" s="20"/>
      <c r="D943" s="20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8" x14ac:dyDescent="0.35">
      <c r="A944" s="1"/>
      <c r="B944" s="19"/>
      <c r="C944" s="20"/>
      <c r="D944" s="20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8" x14ac:dyDescent="0.35">
      <c r="A945" s="1"/>
      <c r="B945" s="19"/>
      <c r="C945" s="20"/>
      <c r="D945" s="20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8" x14ac:dyDescent="0.35">
      <c r="A946" s="1"/>
      <c r="B946" s="19"/>
      <c r="C946" s="20"/>
      <c r="D946" s="20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8" x14ac:dyDescent="0.35">
      <c r="A947" s="1"/>
      <c r="B947" s="19"/>
      <c r="C947" s="20"/>
      <c r="D947" s="20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8" x14ac:dyDescent="0.35">
      <c r="A948" s="1"/>
      <c r="B948" s="19"/>
      <c r="C948" s="20"/>
      <c r="D948" s="20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8" x14ac:dyDescent="0.35">
      <c r="A949" s="1"/>
      <c r="B949" s="19"/>
      <c r="C949" s="20"/>
      <c r="D949" s="20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8" x14ac:dyDescent="0.35">
      <c r="A950" s="1"/>
      <c r="B950" s="19"/>
      <c r="C950" s="20"/>
      <c r="D950" s="20"/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8" x14ac:dyDescent="0.35">
      <c r="A951" s="1"/>
      <c r="B951" s="19"/>
      <c r="C951" s="20"/>
      <c r="D951" s="20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8" x14ac:dyDescent="0.35">
      <c r="A952" s="1"/>
      <c r="B952" s="19"/>
      <c r="C952" s="20"/>
      <c r="D952" s="20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8" x14ac:dyDescent="0.35">
      <c r="A953" s="1"/>
      <c r="B953" s="19"/>
      <c r="C953" s="20"/>
      <c r="D953" s="20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8" x14ac:dyDescent="0.35">
      <c r="A954" s="1"/>
      <c r="B954" s="19"/>
      <c r="C954" s="20"/>
      <c r="D954" s="20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8" x14ac:dyDescent="0.35">
      <c r="A955" s="1"/>
      <c r="B955" s="19"/>
      <c r="C955" s="20"/>
      <c r="D955" s="20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8" x14ac:dyDescent="0.35">
      <c r="A956" s="1"/>
      <c r="B956" s="19"/>
      <c r="C956" s="20"/>
      <c r="D956" s="20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8" x14ac:dyDescent="0.35">
      <c r="A957" s="1"/>
      <c r="B957" s="19"/>
      <c r="C957" s="20"/>
      <c r="D957" s="20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8" x14ac:dyDescent="0.35">
      <c r="A958" s="1"/>
      <c r="B958" s="19"/>
      <c r="C958" s="20"/>
      <c r="D958" s="20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8" x14ac:dyDescent="0.35">
      <c r="A959" s="1"/>
      <c r="B959" s="19"/>
      <c r="C959" s="20"/>
      <c r="D959" s="20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8" x14ac:dyDescent="0.35">
      <c r="A960" s="1"/>
      <c r="B960" s="19"/>
      <c r="C960" s="20"/>
      <c r="D960" s="20"/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8" x14ac:dyDescent="0.35">
      <c r="A961" s="1"/>
      <c r="B961" s="19"/>
      <c r="C961" s="20"/>
      <c r="D961" s="20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8" x14ac:dyDescent="0.35">
      <c r="A962" s="1"/>
      <c r="B962" s="19"/>
      <c r="C962" s="20"/>
      <c r="D962" s="20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8" x14ac:dyDescent="0.35">
      <c r="A963" s="1"/>
      <c r="B963" s="19"/>
      <c r="C963" s="20"/>
      <c r="D963" s="20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8" x14ac:dyDescent="0.35">
      <c r="A964" s="1"/>
      <c r="B964" s="19"/>
      <c r="C964" s="20"/>
      <c r="D964" s="20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8" x14ac:dyDescent="0.35">
      <c r="A965" s="1"/>
      <c r="B965" s="19"/>
      <c r="C965" s="20"/>
      <c r="D965" s="20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8" x14ac:dyDescent="0.35">
      <c r="A966" s="1"/>
      <c r="B966" s="19"/>
      <c r="C966" s="20"/>
      <c r="D966" s="20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8" x14ac:dyDescent="0.35">
      <c r="A967" s="1"/>
      <c r="B967" s="19"/>
      <c r="C967" s="20"/>
      <c r="D967" s="20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8" x14ac:dyDescent="0.35">
      <c r="A968" s="1"/>
      <c r="B968" s="19"/>
      <c r="C968" s="20"/>
      <c r="D968" s="20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8" x14ac:dyDescent="0.35">
      <c r="A969" s="1"/>
      <c r="B969" s="19"/>
      <c r="C969" s="20"/>
      <c r="D969" s="20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8" x14ac:dyDescent="0.35">
      <c r="A970" s="1"/>
      <c r="B970" s="19"/>
      <c r="C970" s="20"/>
      <c r="D970" s="20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8" x14ac:dyDescent="0.35">
      <c r="A971" s="1"/>
      <c r="B971" s="19"/>
      <c r="C971" s="20"/>
      <c r="D971" s="20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8" x14ac:dyDescent="0.35">
      <c r="A972" s="1"/>
      <c r="B972" s="19"/>
      <c r="C972" s="20"/>
      <c r="D972" s="20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8" x14ac:dyDescent="0.35">
      <c r="A973" s="1"/>
      <c r="B973" s="19"/>
      <c r="C973" s="20"/>
      <c r="D973" s="20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8" x14ac:dyDescent="0.35">
      <c r="A974" s="1"/>
      <c r="B974" s="19"/>
      <c r="C974" s="20"/>
      <c r="D974" s="20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8" x14ac:dyDescent="0.35">
      <c r="A975" s="1"/>
      <c r="B975" s="19"/>
      <c r="C975" s="20"/>
      <c r="D975" s="20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8" x14ac:dyDescent="0.35">
      <c r="A976" s="1"/>
      <c r="B976" s="19"/>
      <c r="C976" s="20"/>
      <c r="D976" s="20"/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8" x14ac:dyDescent="0.35">
      <c r="A977" s="1"/>
      <c r="B977" s="19"/>
      <c r="C977" s="20"/>
      <c r="D977" s="20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8" x14ac:dyDescent="0.35">
      <c r="A978" s="1"/>
      <c r="B978" s="19"/>
      <c r="C978" s="20"/>
      <c r="D978" s="20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8" x14ac:dyDescent="0.35">
      <c r="A979" s="1"/>
      <c r="B979" s="19"/>
      <c r="C979" s="20"/>
      <c r="D979" s="20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8" x14ac:dyDescent="0.35">
      <c r="A980" s="1"/>
      <c r="B980" s="19"/>
      <c r="C980" s="20"/>
      <c r="D980" s="20"/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8" x14ac:dyDescent="0.35">
      <c r="A981" s="1"/>
      <c r="B981" s="19"/>
      <c r="C981" s="20"/>
      <c r="D981" s="20"/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8" x14ac:dyDescent="0.35">
      <c r="A982" s="1"/>
      <c r="B982" s="19"/>
      <c r="C982" s="20"/>
      <c r="D982" s="20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8" x14ac:dyDescent="0.35">
      <c r="A983" s="1"/>
      <c r="B983" s="19"/>
      <c r="C983" s="20"/>
      <c r="D983" s="20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8" x14ac:dyDescent="0.35">
      <c r="A984" s="1"/>
      <c r="B984" s="19"/>
      <c r="C984" s="20"/>
      <c r="D984" s="20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8" x14ac:dyDescent="0.35">
      <c r="A985" s="1"/>
      <c r="B985" s="19"/>
      <c r="C985" s="20"/>
      <c r="D985" s="20"/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8" x14ac:dyDescent="0.35">
      <c r="A986" s="1"/>
      <c r="B986" s="19"/>
      <c r="C986" s="20"/>
      <c r="D986" s="20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8" x14ac:dyDescent="0.35">
      <c r="A987" s="1"/>
      <c r="B987" s="19"/>
      <c r="C987" s="20"/>
      <c r="D987" s="20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8" x14ac:dyDescent="0.35">
      <c r="A988" s="1"/>
      <c r="B988" s="19"/>
      <c r="C988" s="20"/>
      <c r="D988" s="20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8" x14ac:dyDescent="0.35">
      <c r="A989" s="1"/>
      <c r="B989" s="19"/>
      <c r="C989" s="20"/>
      <c r="D989" s="20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8" x14ac:dyDescent="0.35">
      <c r="A990" s="1"/>
      <c r="B990" s="19"/>
      <c r="C990" s="20"/>
      <c r="D990" s="20"/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8" x14ac:dyDescent="0.35">
      <c r="A991" s="1"/>
      <c r="B991" s="19"/>
      <c r="C991" s="20"/>
      <c r="D991" s="20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8" x14ac:dyDescent="0.35">
      <c r="A992" s="1"/>
      <c r="B992" s="19"/>
      <c r="C992" s="20"/>
      <c r="D992" s="20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B995"/>
  <sheetViews>
    <sheetView showGridLines="0" workbookViewId="0"/>
  </sheetViews>
  <sheetFormatPr defaultColWidth="14.44140625" defaultRowHeight="15" customHeight="1" x14ac:dyDescent="0.3"/>
  <cols>
    <col min="1" max="1" width="2.6640625" customWidth="1"/>
    <col min="2" max="2" width="12.5546875" customWidth="1"/>
    <col min="3" max="3" width="26.5546875" customWidth="1"/>
    <col min="4" max="4" width="19.109375" customWidth="1"/>
    <col min="5" max="5" width="14.44140625" customWidth="1"/>
    <col min="6" max="13" width="12.6640625" customWidth="1"/>
    <col min="14" max="14" width="13.109375" customWidth="1"/>
    <col min="15" max="28" width="17.88671875" customWidth="1"/>
  </cols>
  <sheetData>
    <row r="1" spans="1:28" ht="24.75" customHeight="1" x14ac:dyDescent="0.35">
      <c r="A1" s="1"/>
      <c r="B1" s="2" t="s">
        <v>0</v>
      </c>
      <c r="E1" s="91" t="s">
        <v>975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" x14ac:dyDescent="0.35">
      <c r="A2" s="1"/>
      <c r="B2" s="6" t="s">
        <v>13</v>
      </c>
      <c r="C2" s="91" t="s">
        <v>1</v>
      </c>
      <c r="D2" s="91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8" x14ac:dyDescent="0.35">
      <c r="A3" s="1"/>
      <c r="B3" s="10" t="s">
        <v>16</v>
      </c>
      <c r="C3" t="s">
        <v>14</v>
      </c>
      <c r="D3" t="s">
        <v>15</v>
      </c>
      <c r="E3" s="93">
        <v>414</v>
      </c>
      <c r="F3" s="93">
        <v>4</v>
      </c>
      <c r="G3" s="93">
        <v>38</v>
      </c>
      <c r="H3" s="93">
        <v>29</v>
      </c>
      <c r="I3" s="93">
        <v>60</v>
      </c>
      <c r="J3" s="93">
        <v>159</v>
      </c>
      <c r="K3" s="93">
        <v>74</v>
      </c>
      <c r="L3" s="93">
        <v>48</v>
      </c>
      <c r="M3" s="93">
        <v>1</v>
      </c>
      <c r="N3" s="93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" x14ac:dyDescent="0.35">
      <c r="A4" s="1"/>
      <c r="B4" s="13" t="s">
        <v>19</v>
      </c>
      <c r="C4" t="s">
        <v>17</v>
      </c>
      <c r="D4" t="s">
        <v>18</v>
      </c>
      <c r="E4" s="93">
        <v>361</v>
      </c>
      <c r="F4" s="93">
        <v>4</v>
      </c>
      <c r="G4" s="93">
        <v>46</v>
      </c>
      <c r="H4" s="93">
        <v>42</v>
      </c>
      <c r="I4" s="93">
        <v>58</v>
      </c>
      <c r="J4" s="93">
        <v>155</v>
      </c>
      <c r="K4" s="93">
        <v>39</v>
      </c>
      <c r="L4" s="93">
        <v>15</v>
      </c>
      <c r="M4" s="93">
        <v>1</v>
      </c>
      <c r="N4" s="93"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" x14ac:dyDescent="0.35">
      <c r="A5" s="1"/>
      <c r="B5" s="16" t="s">
        <v>22</v>
      </c>
      <c r="C5" t="s">
        <v>20</v>
      </c>
      <c r="D5" t="s">
        <v>21</v>
      </c>
      <c r="E5" s="93">
        <v>300</v>
      </c>
      <c r="F5" s="93">
        <v>1</v>
      </c>
      <c r="G5" s="93">
        <v>34</v>
      </c>
      <c r="H5" s="93">
        <v>30</v>
      </c>
      <c r="I5" s="93">
        <v>61</v>
      </c>
      <c r="J5" s="93">
        <v>128</v>
      </c>
      <c r="K5" s="93">
        <v>28</v>
      </c>
      <c r="L5" s="93">
        <v>16</v>
      </c>
      <c r="M5" s="93">
        <v>1</v>
      </c>
      <c r="N5" s="93"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" x14ac:dyDescent="0.35">
      <c r="A6" s="1"/>
      <c r="B6" s="16" t="s">
        <v>25</v>
      </c>
      <c r="C6" t="s">
        <v>23</v>
      </c>
      <c r="D6" t="s">
        <v>24</v>
      </c>
      <c r="E6" s="93">
        <v>299</v>
      </c>
      <c r="F6" s="93">
        <v>1</v>
      </c>
      <c r="G6" s="93">
        <v>20</v>
      </c>
      <c r="H6" s="93">
        <v>30</v>
      </c>
      <c r="I6" s="93">
        <v>111</v>
      </c>
      <c r="J6" s="93">
        <v>71</v>
      </c>
      <c r="K6" s="93">
        <v>34</v>
      </c>
      <c r="L6" s="93">
        <v>31</v>
      </c>
      <c r="M6" s="93"/>
      <c r="N6" s="93">
        <v>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8" x14ac:dyDescent="0.35">
      <c r="A7" s="1"/>
      <c r="B7" s="16" t="s">
        <v>28</v>
      </c>
      <c r="C7" t="s">
        <v>26</v>
      </c>
      <c r="D7" t="s">
        <v>27</v>
      </c>
      <c r="E7" s="93">
        <v>233</v>
      </c>
      <c r="F7" s="93"/>
      <c r="G7" s="93">
        <v>21</v>
      </c>
      <c r="H7" s="93">
        <v>26</v>
      </c>
      <c r="I7" s="93">
        <v>66</v>
      </c>
      <c r="J7" s="93">
        <v>80</v>
      </c>
      <c r="K7" s="93">
        <v>28</v>
      </c>
      <c r="L7" s="93">
        <v>12</v>
      </c>
      <c r="M7" s="93"/>
      <c r="N7" s="9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8" x14ac:dyDescent="0.35">
      <c r="A8" s="1"/>
      <c r="B8" s="16" t="s">
        <v>31</v>
      </c>
      <c r="C8" t="s">
        <v>29</v>
      </c>
      <c r="D8" t="s">
        <v>30</v>
      </c>
      <c r="E8" s="93">
        <v>194</v>
      </c>
      <c r="F8" s="93">
        <v>1</v>
      </c>
      <c r="G8" s="93">
        <v>22</v>
      </c>
      <c r="H8" s="93">
        <v>23</v>
      </c>
      <c r="I8" s="93">
        <v>49</v>
      </c>
      <c r="J8" s="93">
        <v>73</v>
      </c>
      <c r="K8" s="93">
        <v>16</v>
      </c>
      <c r="L8" s="93">
        <v>10</v>
      </c>
      <c r="M8" s="93"/>
      <c r="N8" s="9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8" x14ac:dyDescent="0.35">
      <c r="A9" s="1"/>
      <c r="B9" s="16" t="s">
        <v>34</v>
      </c>
      <c r="C9" t="s">
        <v>32</v>
      </c>
      <c r="D9" t="s">
        <v>33</v>
      </c>
      <c r="E9" s="93">
        <v>130</v>
      </c>
      <c r="F9" s="93">
        <v>1</v>
      </c>
      <c r="G9" s="93">
        <v>22</v>
      </c>
      <c r="H9" s="93">
        <v>13</v>
      </c>
      <c r="I9" s="93">
        <v>15</v>
      </c>
      <c r="J9" s="93">
        <v>50</v>
      </c>
      <c r="K9" s="93">
        <v>25</v>
      </c>
      <c r="L9" s="93">
        <v>4</v>
      </c>
      <c r="M9" s="93"/>
      <c r="N9" s="9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8" x14ac:dyDescent="0.35">
      <c r="A10" s="1"/>
      <c r="B10" s="16" t="s">
        <v>37</v>
      </c>
      <c r="C10" t="s">
        <v>35</v>
      </c>
      <c r="D10" t="s">
        <v>36</v>
      </c>
      <c r="E10" s="93">
        <v>127</v>
      </c>
      <c r="F10" s="93">
        <v>2</v>
      </c>
      <c r="G10" s="93">
        <v>12</v>
      </c>
      <c r="H10" s="93">
        <v>9</v>
      </c>
      <c r="I10" s="93">
        <v>44</v>
      </c>
      <c r="J10" s="93">
        <v>41</v>
      </c>
      <c r="K10" s="93">
        <v>11</v>
      </c>
      <c r="L10" s="93">
        <v>6</v>
      </c>
      <c r="M10" s="93">
        <v>1</v>
      </c>
      <c r="N10" s="93"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" x14ac:dyDescent="0.35">
      <c r="A11" s="1"/>
      <c r="B11" s="16" t="s">
        <v>40</v>
      </c>
      <c r="C11" t="s">
        <v>38</v>
      </c>
      <c r="D11" t="s">
        <v>39</v>
      </c>
      <c r="E11" s="93">
        <v>117</v>
      </c>
      <c r="F11" s="93">
        <v>2</v>
      </c>
      <c r="G11" s="93">
        <v>16</v>
      </c>
      <c r="H11" s="93">
        <v>10</v>
      </c>
      <c r="I11" s="93">
        <v>14</v>
      </c>
      <c r="J11" s="93">
        <v>60</v>
      </c>
      <c r="K11" s="93">
        <v>13</v>
      </c>
      <c r="L11" s="93">
        <v>1</v>
      </c>
      <c r="M11" s="93">
        <v>1</v>
      </c>
      <c r="N11" s="9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" x14ac:dyDescent="0.35">
      <c r="A12" s="1"/>
      <c r="B12" s="16" t="s">
        <v>43</v>
      </c>
      <c r="C12" t="s">
        <v>41</v>
      </c>
      <c r="D12" t="s">
        <v>42</v>
      </c>
      <c r="E12" s="93">
        <v>86</v>
      </c>
      <c r="F12" s="93">
        <v>2</v>
      </c>
      <c r="G12" s="93">
        <v>9</v>
      </c>
      <c r="H12" s="93">
        <v>4</v>
      </c>
      <c r="I12" s="93">
        <v>1</v>
      </c>
      <c r="J12" s="93">
        <v>58</v>
      </c>
      <c r="K12" s="93">
        <v>11</v>
      </c>
      <c r="L12" s="93"/>
      <c r="M12" s="93">
        <v>1</v>
      </c>
      <c r="N12" s="9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" x14ac:dyDescent="0.35">
      <c r="A13" s="1"/>
      <c r="B13" s="16" t="s">
        <v>46</v>
      </c>
      <c r="C13" t="s">
        <v>44</v>
      </c>
      <c r="D13" t="s">
        <v>45</v>
      </c>
      <c r="E13" s="93">
        <v>71</v>
      </c>
      <c r="F13" s="93">
        <v>1</v>
      </c>
      <c r="G13" s="93">
        <v>7</v>
      </c>
      <c r="H13" s="93">
        <v>3</v>
      </c>
      <c r="I13" s="93">
        <v>2</v>
      </c>
      <c r="J13" s="93">
        <v>55</v>
      </c>
      <c r="K13" s="93">
        <v>3</v>
      </c>
      <c r="L13" s="93"/>
      <c r="M13" s="93"/>
      <c r="N13" s="9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8" x14ac:dyDescent="0.35">
      <c r="A14" s="1"/>
      <c r="B14" s="16" t="s">
        <v>49</v>
      </c>
      <c r="C14" t="s">
        <v>47</v>
      </c>
      <c r="D14" t="s">
        <v>48</v>
      </c>
      <c r="E14" s="93">
        <v>70</v>
      </c>
      <c r="F14" s="93">
        <v>2</v>
      </c>
      <c r="G14" s="93">
        <v>11</v>
      </c>
      <c r="H14" s="93">
        <v>6</v>
      </c>
      <c r="I14" s="93">
        <v>3</v>
      </c>
      <c r="J14" s="93">
        <v>41</v>
      </c>
      <c r="K14" s="93">
        <v>3</v>
      </c>
      <c r="L14" s="93">
        <v>4</v>
      </c>
      <c r="M14" s="93"/>
      <c r="N14" s="9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" x14ac:dyDescent="0.35">
      <c r="A15" s="1"/>
      <c r="B15" s="16" t="s">
        <v>52</v>
      </c>
      <c r="C15" t="s">
        <v>50</v>
      </c>
      <c r="D15" t="s">
        <v>51</v>
      </c>
      <c r="E15" s="93">
        <v>57</v>
      </c>
      <c r="F15" s="93"/>
      <c r="G15" s="93">
        <v>10</v>
      </c>
      <c r="H15" s="93">
        <v>8</v>
      </c>
      <c r="I15" s="93">
        <v>2</v>
      </c>
      <c r="J15" s="93">
        <v>31</v>
      </c>
      <c r="K15" s="93">
        <v>6</v>
      </c>
      <c r="L15" s="93"/>
      <c r="M15" s="93"/>
      <c r="N15" s="9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8" x14ac:dyDescent="0.35">
      <c r="A16" s="1"/>
      <c r="B16" s="16" t="s">
        <v>55</v>
      </c>
      <c r="C16" t="s">
        <v>53</v>
      </c>
      <c r="D16" t="s">
        <v>54</v>
      </c>
      <c r="E16" s="93">
        <v>56</v>
      </c>
      <c r="F16" s="93">
        <v>1</v>
      </c>
      <c r="G16" s="93">
        <v>5</v>
      </c>
      <c r="H16" s="93">
        <v>5</v>
      </c>
      <c r="I16" s="93">
        <v>9</v>
      </c>
      <c r="J16" s="93">
        <v>19</v>
      </c>
      <c r="K16" s="93">
        <v>12</v>
      </c>
      <c r="L16" s="93">
        <v>5</v>
      </c>
      <c r="M16" s="93"/>
      <c r="N16" s="9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8" x14ac:dyDescent="0.35">
      <c r="A17" s="1"/>
      <c r="B17" s="16" t="s">
        <v>58</v>
      </c>
      <c r="C17" t="s">
        <v>56</v>
      </c>
      <c r="D17" t="s">
        <v>57</v>
      </c>
      <c r="E17" s="93">
        <v>52</v>
      </c>
      <c r="F17" s="93">
        <v>1</v>
      </c>
      <c r="G17" s="93">
        <v>5</v>
      </c>
      <c r="H17" s="93">
        <v>5</v>
      </c>
      <c r="I17" s="93">
        <v>3</v>
      </c>
      <c r="J17" s="93">
        <v>23</v>
      </c>
      <c r="K17" s="93">
        <v>11</v>
      </c>
      <c r="L17" s="93">
        <v>4</v>
      </c>
      <c r="M17" s="93"/>
      <c r="N17" s="9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8" x14ac:dyDescent="0.35">
      <c r="A18" s="1"/>
      <c r="B18" s="16" t="s">
        <v>61</v>
      </c>
      <c r="C18" t="s">
        <v>59</v>
      </c>
      <c r="D18" t="s">
        <v>60</v>
      </c>
      <c r="E18" s="93">
        <v>51</v>
      </c>
      <c r="F18" s="93">
        <v>1</v>
      </c>
      <c r="G18" s="93">
        <v>2</v>
      </c>
      <c r="H18" s="93">
        <v>5</v>
      </c>
      <c r="I18" s="93">
        <v>11</v>
      </c>
      <c r="J18" s="93">
        <v>18</v>
      </c>
      <c r="K18" s="93">
        <v>10</v>
      </c>
      <c r="L18" s="93">
        <v>3</v>
      </c>
      <c r="M18" s="93"/>
      <c r="N18" s="93">
        <v>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8" x14ac:dyDescent="0.35">
      <c r="A19" s="1"/>
      <c r="B19" s="16" t="s">
        <v>64</v>
      </c>
      <c r="C19" t="s">
        <v>62</v>
      </c>
      <c r="D19" t="s">
        <v>63</v>
      </c>
      <c r="E19" s="93">
        <v>50</v>
      </c>
      <c r="F19" s="93"/>
      <c r="G19" s="93">
        <v>6</v>
      </c>
      <c r="H19" s="93">
        <v>5</v>
      </c>
      <c r="I19" s="93">
        <v>6</v>
      </c>
      <c r="J19" s="93">
        <v>29</v>
      </c>
      <c r="K19" s="93">
        <v>3</v>
      </c>
      <c r="L19" s="93">
        <v>1</v>
      </c>
      <c r="M19" s="93"/>
      <c r="N19" s="9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8" x14ac:dyDescent="0.35">
      <c r="A20" s="1"/>
      <c r="B20" s="16" t="s">
        <v>67</v>
      </c>
      <c r="C20" t="s">
        <v>65</v>
      </c>
      <c r="D20" t="s">
        <v>66</v>
      </c>
      <c r="E20" s="93">
        <v>46</v>
      </c>
      <c r="F20" s="93">
        <v>1</v>
      </c>
      <c r="G20" s="93">
        <v>7</v>
      </c>
      <c r="H20" s="93">
        <v>7</v>
      </c>
      <c r="I20" s="93"/>
      <c r="J20" s="93">
        <v>26</v>
      </c>
      <c r="K20" s="93">
        <v>5</v>
      </c>
      <c r="L20" s="93"/>
      <c r="M20" s="93"/>
      <c r="N20" s="9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8" x14ac:dyDescent="0.35">
      <c r="A21" s="1"/>
      <c r="B21" s="16" t="s">
        <v>70</v>
      </c>
      <c r="C21" t="s">
        <v>68</v>
      </c>
      <c r="D21" t="s">
        <v>69</v>
      </c>
      <c r="E21" s="93">
        <v>36</v>
      </c>
      <c r="F21" s="93">
        <v>1</v>
      </c>
      <c r="G21" s="93">
        <v>7</v>
      </c>
      <c r="H21" s="93">
        <v>6</v>
      </c>
      <c r="I21" s="93">
        <v>3</v>
      </c>
      <c r="J21" s="93">
        <v>8</v>
      </c>
      <c r="K21" s="93">
        <v>3</v>
      </c>
      <c r="L21" s="93">
        <v>7</v>
      </c>
      <c r="M21" s="93"/>
      <c r="N21" s="93">
        <v>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8" x14ac:dyDescent="0.35">
      <c r="A22" s="1"/>
      <c r="B22" s="16" t="s">
        <v>73</v>
      </c>
      <c r="C22" t="s">
        <v>71</v>
      </c>
      <c r="D22" t="s">
        <v>72</v>
      </c>
      <c r="E22" s="93">
        <v>34</v>
      </c>
      <c r="F22" s="93"/>
      <c r="G22" s="93">
        <v>6</v>
      </c>
      <c r="H22" s="93">
        <v>4</v>
      </c>
      <c r="I22" s="93"/>
      <c r="J22" s="93">
        <v>17</v>
      </c>
      <c r="K22" s="93">
        <v>4</v>
      </c>
      <c r="L22" s="93">
        <v>3</v>
      </c>
      <c r="M22" s="93"/>
      <c r="N22" s="9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8" x14ac:dyDescent="0.35">
      <c r="A23" s="1"/>
      <c r="B23" s="16" t="s">
        <v>76</v>
      </c>
      <c r="C23" t="s">
        <v>74</v>
      </c>
      <c r="D23" t="s">
        <v>75</v>
      </c>
      <c r="E23" s="93">
        <v>28</v>
      </c>
      <c r="F23" s="93"/>
      <c r="G23" s="93">
        <v>1</v>
      </c>
      <c r="H23" s="93">
        <v>4</v>
      </c>
      <c r="I23" s="93">
        <v>1</v>
      </c>
      <c r="J23" s="93">
        <v>14</v>
      </c>
      <c r="K23" s="93">
        <v>7</v>
      </c>
      <c r="L23" s="93">
        <v>1</v>
      </c>
      <c r="M23" s="93"/>
      <c r="N23" s="9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8" x14ac:dyDescent="0.35">
      <c r="A24" s="1"/>
      <c r="B24" s="16" t="s">
        <v>79</v>
      </c>
      <c r="C24" t="s">
        <v>77</v>
      </c>
      <c r="D24" t="s">
        <v>78</v>
      </c>
      <c r="E24" s="93">
        <v>23</v>
      </c>
      <c r="F24" s="93"/>
      <c r="G24" s="93">
        <v>3</v>
      </c>
      <c r="H24" s="93">
        <v>2</v>
      </c>
      <c r="I24" s="93">
        <v>6</v>
      </c>
      <c r="J24" s="93">
        <v>10</v>
      </c>
      <c r="K24" s="93"/>
      <c r="L24" s="93">
        <v>2</v>
      </c>
      <c r="M24" s="93"/>
      <c r="N24" s="9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8" x14ac:dyDescent="0.35">
      <c r="A25" s="1"/>
      <c r="B25" s="16" t="s">
        <v>82</v>
      </c>
      <c r="C25" t="s">
        <v>80</v>
      </c>
      <c r="D25" t="s">
        <v>81</v>
      </c>
      <c r="E25" s="93">
        <v>22</v>
      </c>
      <c r="F25" s="93"/>
      <c r="G25" s="93">
        <v>1</v>
      </c>
      <c r="H25" s="93">
        <v>2</v>
      </c>
      <c r="I25" s="93">
        <v>1</v>
      </c>
      <c r="J25" s="93">
        <v>14</v>
      </c>
      <c r="K25" s="93">
        <v>1</v>
      </c>
      <c r="L25" s="93">
        <v>3</v>
      </c>
      <c r="M25" s="93"/>
      <c r="N25" s="9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8" x14ac:dyDescent="0.35">
      <c r="A26" s="1"/>
      <c r="B26" s="16" t="s">
        <v>85</v>
      </c>
      <c r="C26" t="s">
        <v>83</v>
      </c>
      <c r="D26" t="s">
        <v>84</v>
      </c>
      <c r="E26" s="93">
        <v>22</v>
      </c>
      <c r="F26" s="93">
        <v>1</v>
      </c>
      <c r="G26" s="93">
        <v>2</v>
      </c>
      <c r="H26" s="93">
        <v>6</v>
      </c>
      <c r="I26" s="93"/>
      <c r="J26" s="93">
        <v>12</v>
      </c>
      <c r="K26" s="93">
        <v>1</v>
      </c>
      <c r="L26" s="93"/>
      <c r="M26" s="93"/>
      <c r="N26" s="9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8" x14ac:dyDescent="0.35">
      <c r="A27" s="1"/>
      <c r="B27" s="16" t="s">
        <v>88</v>
      </c>
      <c r="C27" t="s">
        <v>86</v>
      </c>
      <c r="D27" t="s">
        <v>87</v>
      </c>
      <c r="E27" s="93">
        <v>20</v>
      </c>
      <c r="F27" s="93"/>
      <c r="G27" s="93">
        <v>1</v>
      </c>
      <c r="H27" s="93">
        <v>1</v>
      </c>
      <c r="I27" s="93">
        <v>12</v>
      </c>
      <c r="J27" s="93">
        <v>6</v>
      </c>
      <c r="K27" s="93"/>
      <c r="L27" s="93"/>
      <c r="M27" s="93"/>
      <c r="N27" s="9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8" x14ac:dyDescent="0.35">
      <c r="A28" s="1"/>
      <c r="B28" s="16" t="s">
        <v>91</v>
      </c>
      <c r="C28" t="s">
        <v>92</v>
      </c>
      <c r="D28" t="s">
        <v>69</v>
      </c>
      <c r="E28" s="93">
        <v>17</v>
      </c>
      <c r="F28" s="93"/>
      <c r="G28" s="93">
        <v>3</v>
      </c>
      <c r="H28" s="93">
        <v>3</v>
      </c>
      <c r="I28" s="93"/>
      <c r="J28" s="93">
        <v>8</v>
      </c>
      <c r="K28" s="93">
        <v>1</v>
      </c>
      <c r="L28" s="93"/>
      <c r="M28" s="93">
        <v>1</v>
      </c>
      <c r="N28" s="93">
        <v>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8" x14ac:dyDescent="0.35">
      <c r="A29" s="1"/>
      <c r="B29" s="16" t="s">
        <v>93</v>
      </c>
      <c r="C29" t="s">
        <v>89</v>
      </c>
      <c r="D29" t="s">
        <v>90</v>
      </c>
      <c r="E29" s="93">
        <v>17</v>
      </c>
      <c r="F29" s="93">
        <v>1</v>
      </c>
      <c r="G29" s="93">
        <v>2</v>
      </c>
      <c r="H29" s="93">
        <v>1</v>
      </c>
      <c r="I29" s="93">
        <v>1</v>
      </c>
      <c r="J29" s="93">
        <v>9</v>
      </c>
      <c r="K29" s="93">
        <v>1</v>
      </c>
      <c r="L29" s="93">
        <v>1</v>
      </c>
      <c r="M29" s="93">
        <v>1</v>
      </c>
      <c r="N29" s="9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8" x14ac:dyDescent="0.35">
      <c r="A30" s="1"/>
      <c r="B30" s="16" t="s">
        <v>96</v>
      </c>
      <c r="C30" t="s">
        <v>94</v>
      </c>
      <c r="D30" t="s">
        <v>95</v>
      </c>
      <c r="E30" s="93">
        <v>16</v>
      </c>
      <c r="F30" s="93">
        <v>1</v>
      </c>
      <c r="G30" s="93">
        <v>2</v>
      </c>
      <c r="H30" s="93"/>
      <c r="I30" s="93">
        <v>2</v>
      </c>
      <c r="J30" s="93">
        <v>6</v>
      </c>
      <c r="K30" s="93">
        <v>3</v>
      </c>
      <c r="L30" s="93">
        <v>1</v>
      </c>
      <c r="M30" s="93"/>
      <c r="N30" s="93">
        <v>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8" x14ac:dyDescent="0.35">
      <c r="A31" s="1"/>
      <c r="B31" s="16" t="s">
        <v>99</v>
      </c>
      <c r="C31" t="s">
        <v>97</v>
      </c>
      <c r="D31" t="s">
        <v>98</v>
      </c>
      <c r="E31" s="93">
        <v>14</v>
      </c>
      <c r="F31" s="93"/>
      <c r="G31" s="93">
        <v>7</v>
      </c>
      <c r="H31" s="93">
        <v>1</v>
      </c>
      <c r="I31" s="93">
        <v>3</v>
      </c>
      <c r="J31" s="93">
        <v>3</v>
      </c>
      <c r="K31" s="93"/>
      <c r="L31" s="93"/>
      <c r="M31" s="93"/>
      <c r="N31" s="9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8" x14ac:dyDescent="0.35">
      <c r="A32" s="1"/>
      <c r="B32" s="16" t="s">
        <v>102</v>
      </c>
      <c r="C32" t="s">
        <v>100</v>
      </c>
      <c r="D32" t="s">
        <v>101</v>
      </c>
      <c r="E32" s="93">
        <v>12</v>
      </c>
      <c r="F32" s="93"/>
      <c r="G32" s="93">
        <v>1</v>
      </c>
      <c r="H32" s="93">
        <v>2</v>
      </c>
      <c r="I32" s="93">
        <v>3</v>
      </c>
      <c r="J32" s="93">
        <v>6</v>
      </c>
      <c r="K32" s="93"/>
      <c r="L32" s="93"/>
      <c r="M32" s="93"/>
      <c r="N32" s="9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8" x14ac:dyDescent="0.35">
      <c r="A33" s="1"/>
      <c r="B33" s="16" t="s">
        <v>105</v>
      </c>
      <c r="C33" t="s">
        <v>103</v>
      </c>
      <c r="D33" t="s">
        <v>104</v>
      </c>
      <c r="E33" s="93">
        <v>10</v>
      </c>
      <c r="F33" s="93"/>
      <c r="G33" s="93">
        <v>1</v>
      </c>
      <c r="H33" s="93">
        <v>1</v>
      </c>
      <c r="I33" s="93"/>
      <c r="J33" s="93">
        <v>7</v>
      </c>
      <c r="K33" s="93"/>
      <c r="L33" s="93"/>
      <c r="M33" s="93">
        <v>1</v>
      </c>
      <c r="N33" s="9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8" x14ac:dyDescent="0.35">
      <c r="A34" s="1"/>
      <c r="B34" s="16" t="s">
        <v>108</v>
      </c>
      <c r="C34" t="s">
        <v>106</v>
      </c>
      <c r="D34" t="s">
        <v>107</v>
      </c>
      <c r="E34" s="93">
        <v>6</v>
      </c>
      <c r="F34" s="93">
        <v>1</v>
      </c>
      <c r="G34" s="93"/>
      <c r="H34" s="93"/>
      <c r="I34" s="93">
        <v>1</v>
      </c>
      <c r="J34" s="93">
        <v>2</v>
      </c>
      <c r="K34" s="93"/>
      <c r="L34" s="93">
        <v>1</v>
      </c>
      <c r="M34" s="93">
        <v>1</v>
      </c>
      <c r="N34" s="9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8" x14ac:dyDescent="0.35">
      <c r="A35" s="1"/>
      <c r="B35" s="16" t="s">
        <v>111</v>
      </c>
      <c r="C35" t="s">
        <v>109</v>
      </c>
      <c r="D35" t="s">
        <v>110</v>
      </c>
      <c r="E35" s="93">
        <v>6</v>
      </c>
      <c r="F35" s="93"/>
      <c r="G35" s="93"/>
      <c r="H35" s="93"/>
      <c r="I35" s="93">
        <v>3</v>
      </c>
      <c r="J35" s="93">
        <v>2</v>
      </c>
      <c r="K35" s="93">
        <v>1</v>
      </c>
      <c r="L35" s="93"/>
      <c r="M35" s="93"/>
      <c r="N35" s="9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8" x14ac:dyDescent="0.35">
      <c r="A36" s="1"/>
      <c r="B36" s="16" t="s">
        <v>114</v>
      </c>
      <c r="C36" t="s">
        <v>112</v>
      </c>
      <c r="D36" t="s">
        <v>113</v>
      </c>
      <c r="E36" s="93">
        <v>6</v>
      </c>
      <c r="F36" s="93"/>
      <c r="G36" s="93"/>
      <c r="H36" s="93"/>
      <c r="I36" s="93">
        <v>1</v>
      </c>
      <c r="J36" s="93">
        <v>4</v>
      </c>
      <c r="K36" s="93"/>
      <c r="L36" s="93"/>
      <c r="M36" s="93"/>
      <c r="N36" s="93">
        <v>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8" x14ac:dyDescent="0.35">
      <c r="A37" s="1"/>
      <c r="B37" s="16" t="s">
        <v>117</v>
      </c>
      <c r="C37" t="s">
        <v>121</v>
      </c>
      <c r="D37" t="s">
        <v>122</v>
      </c>
      <c r="E37" s="93">
        <v>5</v>
      </c>
      <c r="F37" s="93">
        <v>1</v>
      </c>
      <c r="G37" s="93"/>
      <c r="H37" s="93"/>
      <c r="I37" s="93">
        <v>2</v>
      </c>
      <c r="J37" s="93">
        <v>2</v>
      </c>
      <c r="K37" s="93"/>
      <c r="L37" s="93"/>
      <c r="M37" s="93"/>
      <c r="N37" s="9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8" x14ac:dyDescent="0.35">
      <c r="A38" s="1"/>
      <c r="B38" s="16" t="s">
        <v>120</v>
      </c>
      <c r="C38" t="s">
        <v>118</v>
      </c>
      <c r="D38" t="s">
        <v>119</v>
      </c>
      <c r="E38" s="93">
        <v>5</v>
      </c>
      <c r="F38" s="93"/>
      <c r="G38" s="93">
        <v>1</v>
      </c>
      <c r="H38" s="93"/>
      <c r="I38" s="93"/>
      <c r="J38" s="93">
        <v>2</v>
      </c>
      <c r="K38" s="93">
        <v>1</v>
      </c>
      <c r="L38" s="93">
        <v>1</v>
      </c>
      <c r="M38" s="93"/>
      <c r="N38" s="9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8" x14ac:dyDescent="0.35">
      <c r="A39" s="1"/>
      <c r="B39" s="16" t="s">
        <v>123</v>
      </c>
      <c r="C39" t="s">
        <v>124</v>
      </c>
      <c r="D39" t="s">
        <v>125</v>
      </c>
      <c r="E39" s="93">
        <v>5</v>
      </c>
      <c r="F39" s="93"/>
      <c r="G39" s="93"/>
      <c r="H39" s="93"/>
      <c r="I39" s="93">
        <v>1</v>
      </c>
      <c r="J39" s="93">
        <v>3</v>
      </c>
      <c r="K39" s="93">
        <v>1</v>
      </c>
      <c r="L39" s="93"/>
      <c r="M39" s="93"/>
      <c r="N39" s="9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8" x14ac:dyDescent="0.35">
      <c r="A40" s="1"/>
      <c r="B40" s="16" t="s">
        <v>126</v>
      </c>
      <c r="C40" t="s">
        <v>115</v>
      </c>
      <c r="D40" t="s">
        <v>116</v>
      </c>
      <c r="E40" s="93">
        <v>5</v>
      </c>
      <c r="F40" s="93">
        <v>1</v>
      </c>
      <c r="G40" s="93">
        <v>2</v>
      </c>
      <c r="H40" s="93"/>
      <c r="I40" s="93">
        <v>1</v>
      </c>
      <c r="J40" s="93">
        <v>1</v>
      </c>
      <c r="K40" s="93"/>
      <c r="L40" s="93"/>
      <c r="M40" s="93"/>
      <c r="N40" s="9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8" x14ac:dyDescent="0.35">
      <c r="A41" s="1"/>
      <c r="B41" s="16" t="s">
        <v>129</v>
      </c>
      <c r="C41" t="s">
        <v>133</v>
      </c>
      <c r="D41" t="s">
        <v>134</v>
      </c>
      <c r="E41" s="93">
        <v>4</v>
      </c>
      <c r="F41" s="93"/>
      <c r="G41" s="93"/>
      <c r="H41" s="93"/>
      <c r="I41" s="93">
        <v>1</v>
      </c>
      <c r="J41" s="93">
        <v>3</v>
      </c>
      <c r="K41" s="93"/>
      <c r="L41" s="93"/>
      <c r="M41" s="93"/>
      <c r="N41" s="9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8" x14ac:dyDescent="0.35">
      <c r="A42" s="1"/>
      <c r="B42" s="16" t="s">
        <v>132</v>
      </c>
      <c r="C42" t="s">
        <v>130</v>
      </c>
      <c r="D42" t="s">
        <v>131</v>
      </c>
      <c r="E42" s="93">
        <v>4</v>
      </c>
      <c r="F42" s="93"/>
      <c r="G42" s="93"/>
      <c r="H42" s="93"/>
      <c r="I42" s="93">
        <v>1</v>
      </c>
      <c r="J42" s="93">
        <v>2</v>
      </c>
      <c r="K42" s="93">
        <v>1</v>
      </c>
      <c r="L42" s="93"/>
      <c r="M42" s="93"/>
      <c r="N42" s="9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8" x14ac:dyDescent="0.35">
      <c r="A43" s="1"/>
      <c r="B43" s="16" t="s">
        <v>135</v>
      </c>
      <c r="C43" t="s">
        <v>127</v>
      </c>
      <c r="D43" t="s">
        <v>128</v>
      </c>
      <c r="E43" s="93">
        <v>4</v>
      </c>
      <c r="F43" s="93"/>
      <c r="G43" s="93">
        <v>2</v>
      </c>
      <c r="H43" s="93">
        <v>1</v>
      </c>
      <c r="I43" s="93"/>
      <c r="J43" s="93">
        <v>1</v>
      </c>
      <c r="K43" s="93"/>
      <c r="L43" s="93"/>
      <c r="M43" s="93"/>
      <c r="N43" s="9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8" x14ac:dyDescent="0.35">
      <c r="A44" s="1"/>
      <c r="B44" s="16" t="s">
        <v>138</v>
      </c>
      <c r="C44" t="s">
        <v>139</v>
      </c>
      <c r="D44" t="s">
        <v>140</v>
      </c>
      <c r="E44" s="93">
        <v>3</v>
      </c>
      <c r="F44" s="93"/>
      <c r="G44" s="93">
        <v>1</v>
      </c>
      <c r="H44" s="93"/>
      <c r="I44" s="93"/>
      <c r="J44" s="93"/>
      <c r="K44" s="93">
        <v>1</v>
      </c>
      <c r="L44" s="93">
        <v>1</v>
      </c>
      <c r="M44" s="93"/>
      <c r="N44" s="9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8" x14ac:dyDescent="0.35">
      <c r="A45" s="1"/>
      <c r="B45" s="16" t="s">
        <v>141</v>
      </c>
      <c r="C45" t="s">
        <v>142</v>
      </c>
      <c r="D45" t="s">
        <v>143</v>
      </c>
      <c r="E45" s="93">
        <v>3</v>
      </c>
      <c r="F45" s="93"/>
      <c r="G45" s="93"/>
      <c r="H45" s="93"/>
      <c r="I45" s="93">
        <v>1</v>
      </c>
      <c r="J45" s="93">
        <v>2</v>
      </c>
      <c r="K45" s="93"/>
      <c r="L45" s="93"/>
      <c r="M45" s="93"/>
      <c r="N45" s="9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8" x14ac:dyDescent="0.35">
      <c r="A46" s="1"/>
      <c r="B46" s="16" t="s">
        <v>144</v>
      </c>
      <c r="C46" t="s">
        <v>148</v>
      </c>
      <c r="D46" t="s">
        <v>149</v>
      </c>
      <c r="E46" s="93">
        <v>3</v>
      </c>
      <c r="F46" s="93"/>
      <c r="G46" s="93"/>
      <c r="H46" s="93"/>
      <c r="I46" s="93"/>
      <c r="J46" s="93">
        <v>2</v>
      </c>
      <c r="K46" s="93"/>
      <c r="L46" s="93">
        <v>1</v>
      </c>
      <c r="M46" s="93"/>
      <c r="N46" s="9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8" x14ac:dyDescent="0.35">
      <c r="A47" s="1"/>
      <c r="B47" s="16" t="s">
        <v>147</v>
      </c>
      <c r="C47" t="s">
        <v>136</v>
      </c>
      <c r="D47" t="s">
        <v>137</v>
      </c>
      <c r="E47" s="93">
        <v>3</v>
      </c>
      <c r="F47" s="93">
        <v>1</v>
      </c>
      <c r="G47" s="93"/>
      <c r="H47" s="93"/>
      <c r="I47" s="93">
        <v>1</v>
      </c>
      <c r="J47" s="93">
        <v>1</v>
      </c>
      <c r="K47" s="93"/>
      <c r="L47" s="93"/>
      <c r="M47" s="93"/>
      <c r="N47" s="9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8" x14ac:dyDescent="0.35">
      <c r="A48" s="1"/>
      <c r="B48" s="16" t="s">
        <v>150</v>
      </c>
      <c r="C48" t="s">
        <v>145</v>
      </c>
      <c r="D48" t="s">
        <v>146</v>
      </c>
      <c r="E48" s="93">
        <v>3</v>
      </c>
      <c r="F48" s="93"/>
      <c r="G48" s="93"/>
      <c r="H48" s="93"/>
      <c r="I48" s="93">
        <v>1</v>
      </c>
      <c r="J48" s="93">
        <v>2</v>
      </c>
      <c r="K48" s="93"/>
      <c r="L48" s="93"/>
      <c r="M48" s="93"/>
      <c r="N48" s="9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8" x14ac:dyDescent="0.35">
      <c r="A49" s="1"/>
      <c r="B49" s="16" t="s">
        <v>153</v>
      </c>
      <c r="C49" t="s">
        <v>151</v>
      </c>
      <c r="D49" t="s">
        <v>152</v>
      </c>
      <c r="E49" s="93">
        <v>2</v>
      </c>
      <c r="F49" s="93"/>
      <c r="G49" s="93"/>
      <c r="H49" s="93"/>
      <c r="I49" s="93"/>
      <c r="J49" s="93">
        <v>1</v>
      </c>
      <c r="K49" s="93">
        <v>1</v>
      </c>
      <c r="L49" s="93"/>
      <c r="M49" s="93"/>
      <c r="N49" s="9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8" x14ac:dyDescent="0.35">
      <c r="A50" s="1"/>
      <c r="B50" s="16" t="s">
        <v>156</v>
      </c>
      <c r="C50" t="s">
        <v>166</v>
      </c>
      <c r="D50" t="s">
        <v>167</v>
      </c>
      <c r="E50" s="93">
        <v>1</v>
      </c>
      <c r="F50" s="93"/>
      <c r="G50" s="93"/>
      <c r="H50" s="93"/>
      <c r="I50" s="93"/>
      <c r="J50" s="93">
        <v>1</v>
      </c>
      <c r="K50" s="93"/>
      <c r="L50" s="93"/>
      <c r="M50" s="93"/>
      <c r="N50" s="9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8" x14ac:dyDescent="0.35">
      <c r="A51" s="1"/>
      <c r="B51" s="16" t="s">
        <v>159</v>
      </c>
      <c r="C51" t="s">
        <v>163</v>
      </c>
      <c r="D51" t="s">
        <v>164</v>
      </c>
      <c r="E51" s="93">
        <v>1</v>
      </c>
      <c r="F51" s="93"/>
      <c r="G51" s="93"/>
      <c r="H51" s="93"/>
      <c r="I51" s="93"/>
      <c r="J51" s="93">
        <v>1</v>
      </c>
      <c r="K51" s="93"/>
      <c r="L51" s="93"/>
      <c r="M51" s="93"/>
      <c r="N51" s="9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8" x14ac:dyDescent="0.35">
      <c r="A52" s="1"/>
      <c r="B52" s="16" t="s">
        <v>162</v>
      </c>
      <c r="C52" t="s">
        <v>157</v>
      </c>
      <c r="D52" t="s">
        <v>158</v>
      </c>
      <c r="E52" s="93">
        <v>1</v>
      </c>
      <c r="F52" s="93">
        <v>1</v>
      </c>
      <c r="G52" s="93"/>
      <c r="H52" s="93"/>
      <c r="I52" s="93"/>
      <c r="J52" s="93"/>
      <c r="K52" s="93"/>
      <c r="L52" s="93"/>
      <c r="M52" s="93"/>
      <c r="N52" s="9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8" x14ac:dyDescent="0.35">
      <c r="A53" s="1"/>
      <c r="B53" s="16" t="s">
        <v>165</v>
      </c>
      <c r="C53" t="s">
        <v>154</v>
      </c>
      <c r="D53" t="s">
        <v>155</v>
      </c>
      <c r="E53" s="93">
        <v>1</v>
      </c>
      <c r="F53" s="93">
        <v>1</v>
      </c>
      <c r="G53" s="93"/>
      <c r="H53" s="93"/>
      <c r="I53" s="93"/>
      <c r="J53" s="93"/>
      <c r="K53" s="93"/>
      <c r="L53" s="93"/>
      <c r="M53" s="93"/>
      <c r="N53" s="9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8" x14ac:dyDescent="0.35">
      <c r="A54" s="1"/>
      <c r="B54" s="16" t="s">
        <v>168</v>
      </c>
      <c r="C54" t="s">
        <v>160</v>
      </c>
      <c r="D54" t="s">
        <v>161</v>
      </c>
      <c r="E54" s="93">
        <v>1</v>
      </c>
      <c r="F54" s="93"/>
      <c r="G54" s="93"/>
      <c r="H54" s="93"/>
      <c r="I54" s="93"/>
      <c r="J54" s="93">
        <v>1</v>
      </c>
      <c r="K54" s="93"/>
      <c r="L54" s="93"/>
      <c r="M54" s="93"/>
      <c r="N54" s="9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8" x14ac:dyDescent="0.35">
      <c r="A55" s="1"/>
      <c r="B55" s="16" t="s">
        <v>169</v>
      </c>
      <c r="C55" s="25"/>
      <c r="D55" s="26"/>
      <c r="E55" s="26"/>
      <c r="F55" s="23"/>
      <c r="G55" s="23"/>
      <c r="H55" s="23"/>
      <c r="I55" s="23"/>
      <c r="J55" s="23"/>
      <c r="K55" s="23"/>
      <c r="L55" s="23"/>
      <c r="M55" s="24"/>
      <c r="N55" s="2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8" x14ac:dyDescent="0.35">
      <c r="A56" s="1"/>
      <c r="B56" s="16" t="s">
        <v>170</v>
      </c>
      <c r="C56" s="25"/>
      <c r="D56" s="26"/>
      <c r="E56" s="26"/>
      <c r="F56" s="23"/>
      <c r="G56" s="23"/>
      <c r="H56" s="23"/>
      <c r="I56" s="23"/>
      <c r="J56" s="23"/>
      <c r="K56" s="23"/>
      <c r="L56" s="23"/>
      <c r="M56" s="24"/>
      <c r="N56" s="2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8" x14ac:dyDescent="0.35">
      <c r="A57" s="1"/>
      <c r="B57" s="19"/>
      <c r="C57" s="20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8" x14ac:dyDescent="0.35">
      <c r="A58" s="1"/>
      <c r="B58" s="19"/>
      <c r="C58" s="20"/>
      <c r="D58" s="21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8" x14ac:dyDescent="0.35">
      <c r="A59" s="1"/>
      <c r="B59" s="19"/>
      <c r="C59" s="20"/>
      <c r="D59" s="21"/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8" x14ac:dyDescent="0.35">
      <c r="A60" s="1"/>
      <c r="B60" s="19"/>
      <c r="C60" s="20"/>
      <c r="D60" s="21"/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8" x14ac:dyDescent="0.35">
      <c r="A61" s="1"/>
      <c r="B61" s="19"/>
      <c r="C61" s="20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8" x14ac:dyDescent="0.35">
      <c r="A62" s="1"/>
      <c r="B62" s="19"/>
      <c r="C62" s="20"/>
      <c r="D62" s="21"/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8" x14ac:dyDescent="0.35">
      <c r="A63" s="1"/>
      <c r="B63" s="19"/>
      <c r="C63" s="20"/>
      <c r="D63" s="21"/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8" x14ac:dyDescent="0.35">
      <c r="A64" s="1"/>
      <c r="B64" s="19"/>
      <c r="C64" s="20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8" x14ac:dyDescent="0.35">
      <c r="A65" s="1"/>
      <c r="B65" s="19"/>
      <c r="C65" s="20"/>
      <c r="D65" s="21"/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8" x14ac:dyDescent="0.35">
      <c r="A66" s="1"/>
      <c r="B66" s="19"/>
      <c r="C66" s="20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8" x14ac:dyDescent="0.35">
      <c r="A67" s="1"/>
      <c r="B67" s="19"/>
      <c r="C67" s="20"/>
      <c r="D67" s="21"/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8" x14ac:dyDescent="0.35">
      <c r="A68" s="1"/>
      <c r="B68" s="19"/>
      <c r="C68" s="20"/>
      <c r="D68" s="21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8" x14ac:dyDescent="0.35">
      <c r="A69" s="1"/>
      <c r="B69" s="19"/>
      <c r="C69" s="20"/>
      <c r="D69" s="21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8" x14ac:dyDescent="0.35">
      <c r="A70" s="1"/>
      <c r="B70" s="19"/>
      <c r="C70" s="20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8" x14ac:dyDescent="0.35">
      <c r="A71" s="1"/>
      <c r="B71" s="19"/>
      <c r="C71" s="20"/>
      <c r="D71" s="21"/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8" x14ac:dyDescent="0.35">
      <c r="A72" s="1"/>
      <c r="B72" s="19"/>
      <c r="C72" s="20"/>
      <c r="D72" s="21"/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8" x14ac:dyDescent="0.35">
      <c r="A73" s="1"/>
      <c r="B73" s="19"/>
      <c r="C73" s="20"/>
      <c r="D73" s="21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8" x14ac:dyDescent="0.35">
      <c r="A74" s="1"/>
      <c r="B74" s="19"/>
      <c r="C74" s="20"/>
      <c r="D74" s="21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8" x14ac:dyDescent="0.35">
      <c r="A75" s="1"/>
      <c r="B75" s="19"/>
      <c r="C75" s="20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8" x14ac:dyDescent="0.35">
      <c r="A76" s="1"/>
      <c r="B76" s="19"/>
      <c r="C76" s="20"/>
      <c r="D76" s="21"/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8" x14ac:dyDescent="0.35">
      <c r="A77" s="1"/>
      <c r="B77" s="19"/>
      <c r="C77" s="20"/>
      <c r="D77" s="21"/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8" x14ac:dyDescent="0.35">
      <c r="A78" s="1"/>
      <c r="B78" s="19"/>
      <c r="C78" s="20"/>
      <c r="D78" s="21"/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8" x14ac:dyDescent="0.35">
      <c r="A79" s="1"/>
      <c r="B79" s="19"/>
      <c r="C79" s="20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8" x14ac:dyDescent="0.35">
      <c r="A80" s="1"/>
      <c r="B80" s="19"/>
      <c r="C80" s="20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8" x14ac:dyDescent="0.35">
      <c r="A81" s="1"/>
      <c r="B81" s="19"/>
      <c r="C81" s="20"/>
      <c r="D81" s="21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8" x14ac:dyDescent="0.35">
      <c r="A82" s="1"/>
      <c r="B82" s="19"/>
      <c r="C82" s="20"/>
      <c r="D82" s="21"/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8" x14ac:dyDescent="0.35">
      <c r="A83" s="1"/>
      <c r="B83" s="19"/>
      <c r="C83" s="20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8" x14ac:dyDescent="0.35">
      <c r="A84" s="1"/>
      <c r="B84" s="19"/>
      <c r="C84" s="20"/>
      <c r="D84" s="21"/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8" x14ac:dyDescent="0.35">
      <c r="A85" s="1"/>
      <c r="B85" s="19"/>
      <c r="C85" s="20"/>
      <c r="D85" s="21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8" x14ac:dyDescent="0.35">
      <c r="A86" s="1"/>
      <c r="B86" s="19"/>
      <c r="C86" s="20"/>
      <c r="D86" s="21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8" x14ac:dyDescent="0.35">
      <c r="A87" s="1"/>
      <c r="B87" s="19"/>
      <c r="C87" s="20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8" x14ac:dyDescent="0.35">
      <c r="A88" s="1"/>
      <c r="B88" s="19"/>
      <c r="C88" s="20"/>
      <c r="D88" s="21"/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8" x14ac:dyDescent="0.35">
      <c r="A89" s="1"/>
      <c r="B89" s="19"/>
      <c r="C89" s="20"/>
      <c r="D89" s="21"/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8" x14ac:dyDescent="0.35">
      <c r="A90" s="1"/>
      <c r="B90" s="19"/>
      <c r="C90" s="20"/>
      <c r="D90" s="21"/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8" x14ac:dyDescent="0.35">
      <c r="A91" s="1"/>
      <c r="B91" s="19"/>
      <c r="C91" s="20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8" x14ac:dyDescent="0.35">
      <c r="A92" s="1"/>
      <c r="B92" s="19"/>
      <c r="C92" s="20"/>
      <c r="D92" s="21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8" x14ac:dyDescent="0.35">
      <c r="A93" s="1"/>
      <c r="B93" s="19"/>
      <c r="C93" s="20"/>
      <c r="D93" s="21"/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8" x14ac:dyDescent="0.35">
      <c r="A94" s="1"/>
      <c r="B94" s="19"/>
      <c r="C94" s="20"/>
      <c r="D94" s="21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8" x14ac:dyDescent="0.35">
      <c r="A95" s="1"/>
      <c r="B95" s="19"/>
      <c r="C95" s="20"/>
      <c r="D95" s="21"/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8" x14ac:dyDescent="0.35">
      <c r="A96" s="1"/>
      <c r="B96" s="19"/>
      <c r="C96" s="20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8" x14ac:dyDescent="0.35">
      <c r="A97" s="1"/>
      <c r="B97" s="19"/>
      <c r="C97" s="20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8" x14ac:dyDescent="0.35">
      <c r="A98" s="1"/>
      <c r="B98" s="19"/>
      <c r="C98" s="20"/>
      <c r="D98" s="21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8" x14ac:dyDescent="0.35">
      <c r="A99" s="1"/>
      <c r="B99" s="19"/>
      <c r="C99" s="20"/>
      <c r="D99" s="21"/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8" x14ac:dyDescent="0.35">
      <c r="A100" s="1"/>
      <c r="B100" s="19"/>
      <c r="C100" s="20"/>
      <c r="D100" s="21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8" x14ac:dyDescent="0.35">
      <c r="A101" s="1"/>
      <c r="B101" s="19"/>
      <c r="C101" s="20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8" x14ac:dyDescent="0.35">
      <c r="A102" s="1"/>
      <c r="B102" s="19"/>
      <c r="C102" s="20"/>
      <c r="D102" s="21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8" x14ac:dyDescent="0.35">
      <c r="A103" s="1"/>
      <c r="B103" s="19"/>
      <c r="C103" s="20"/>
      <c r="D103" s="21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8" x14ac:dyDescent="0.35">
      <c r="A104" s="1"/>
      <c r="B104" s="19"/>
      <c r="C104" s="20"/>
      <c r="D104" s="21"/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8" x14ac:dyDescent="0.35">
      <c r="A105" s="1"/>
      <c r="B105" s="19"/>
      <c r="C105" s="20"/>
      <c r="D105" s="21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8" x14ac:dyDescent="0.35">
      <c r="A106" s="1"/>
      <c r="B106" s="19"/>
      <c r="C106" s="20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8" x14ac:dyDescent="0.35">
      <c r="A107" s="1"/>
      <c r="B107" s="19"/>
      <c r="C107" s="20"/>
      <c r="D107" s="21"/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8" x14ac:dyDescent="0.35">
      <c r="A108" s="1"/>
      <c r="B108" s="19"/>
      <c r="C108" s="20"/>
      <c r="D108" s="21"/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8" x14ac:dyDescent="0.35">
      <c r="A109" s="1"/>
      <c r="B109" s="19"/>
      <c r="C109" s="20"/>
      <c r="D109" s="21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8" x14ac:dyDescent="0.35">
      <c r="A110" s="1"/>
      <c r="B110" s="19"/>
      <c r="C110" s="20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8" x14ac:dyDescent="0.35">
      <c r="A111" s="1"/>
      <c r="B111" s="19"/>
      <c r="C111" s="20"/>
      <c r="D111" s="21"/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8" x14ac:dyDescent="0.35">
      <c r="A112" s="1"/>
      <c r="B112" s="19"/>
      <c r="C112" s="20"/>
      <c r="D112" s="21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8" x14ac:dyDescent="0.35">
      <c r="A113" s="1"/>
      <c r="B113" s="19"/>
      <c r="C113" s="20"/>
      <c r="D113" s="21"/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8" x14ac:dyDescent="0.35">
      <c r="A114" s="1"/>
      <c r="B114" s="19"/>
      <c r="C114" s="20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8" x14ac:dyDescent="0.35">
      <c r="A115" s="1"/>
      <c r="B115" s="19"/>
      <c r="C115" s="20"/>
      <c r="D115" s="21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8" x14ac:dyDescent="0.35">
      <c r="A116" s="1"/>
      <c r="B116" s="19"/>
      <c r="C116" s="20"/>
      <c r="D116" s="21"/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8" x14ac:dyDescent="0.35">
      <c r="A117" s="1"/>
      <c r="B117" s="19"/>
      <c r="C117" s="20"/>
      <c r="D117" s="21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8" x14ac:dyDescent="0.35">
      <c r="A118" s="1"/>
      <c r="B118" s="19"/>
      <c r="C118" s="20"/>
      <c r="D118" s="21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8" x14ac:dyDescent="0.35">
      <c r="A119" s="1"/>
      <c r="B119" s="19"/>
      <c r="C119" s="20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8" x14ac:dyDescent="0.35">
      <c r="A120" s="1"/>
      <c r="B120" s="19"/>
      <c r="C120" s="20"/>
      <c r="D120" s="21"/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8" x14ac:dyDescent="0.35">
      <c r="A121" s="1"/>
      <c r="B121" s="19"/>
      <c r="C121" s="20"/>
      <c r="D121" s="21"/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8" x14ac:dyDescent="0.35">
      <c r="A122" s="1"/>
      <c r="B122" s="19"/>
      <c r="C122" s="20"/>
      <c r="D122" s="21"/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8" x14ac:dyDescent="0.35">
      <c r="A123" s="1"/>
      <c r="B123" s="19"/>
      <c r="C123" s="20"/>
      <c r="D123" s="21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8" x14ac:dyDescent="0.35">
      <c r="A124" s="1"/>
      <c r="B124" s="19"/>
      <c r="C124" s="20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8" x14ac:dyDescent="0.35">
      <c r="A125" s="1"/>
      <c r="B125" s="19"/>
      <c r="C125" s="20"/>
      <c r="D125" s="21"/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8" x14ac:dyDescent="0.35">
      <c r="A126" s="1"/>
      <c r="B126" s="19"/>
      <c r="C126" s="20"/>
      <c r="D126" s="21"/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8" x14ac:dyDescent="0.35">
      <c r="A127" s="1"/>
      <c r="B127" s="19"/>
      <c r="C127" s="20"/>
      <c r="D127" s="21"/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8" x14ac:dyDescent="0.35">
      <c r="A128" s="1"/>
      <c r="B128" s="19"/>
      <c r="C128" s="20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8" x14ac:dyDescent="0.35">
      <c r="A129" s="1"/>
      <c r="B129" s="19"/>
      <c r="C129" s="20"/>
      <c r="D129" s="21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8" x14ac:dyDescent="0.35">
      <c r="A130" s="1"/>
      <c r="B130" s="19"/>
      <c r="C130" s="20"/>
      <c r="D130" s="21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8" x14ac:dyDescent="0.35">
      <c r="A131" s="1"/>
      <c r="B131" s="19"/>
      <c r="C131" s="20"/>
      <c r="D131" s="21"/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8" x14ac:dyDescent="0.35">
      <c r="A132" s="1"/>
      <c r="B132" s="19"/>
      <c r="C132" s="20"/>
      <c r="D132" s="21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8" x14ac:dyDescent="0.35">
      <c r="A133" s="1"/>
      <c r="B133" s="19"/>
      <c r="C133" s="20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8" x14ac:dyDescent="0.35">
      <c r="A134" s="1"/>
      <c r="B134" s="19"/>
      <c r="C134" s="20"/>
      <c r="D134" s="21"/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8" x14ac:dyDescent="0.35">
      <c r="A135" s="1"/>
      <c r="B135" s="19"/>
      <c r="C135" s="20"/>
      <c r="D135" s="21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8" x14ac:dyDescent="0.35">
      <c r="A136" s="1"/>
      <c r="B136" s="19"/>
      <c r="C136" s="20"/>
      <c r="D136" s="21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8" x14ac:dyDescent="0.35">
      <c r="A137" s="1"/>
      <c r="B137" s="19"/>
      <c r="C137" s="20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8" x14ac:dyDescent="0.35">
      <c r="A138" s="1"/>
      <c r="B138" s="19"/>
      <c r="C138" s="20"/>
      <c r="D138" s="21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8" x14ac:dyDescent="0.35">
      <c r="A139" s="1"/>
      <c r="B139" s="19"/>
      <c r="C139" s="20"/>
      <c r="D139" s="21"/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8" x14ac:dyDescent="0.35">
      <c r="A140" s="1"/>
      <c r="B140" s="19"/>
      <c r="C140" s="20"/>
      <c r="D140" s="21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8" x14ac:dyDescent="0.35">
      <c r="A141" s="1"/>
      <c r="B141" s="19"/>
      <c r="C141" s="20"/>
      <c r="D141" s="21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8" x14ac:dyDescent="0.35">
      <c r="A142" s="1"/>
      <c r="B142" s="19"/>
      <c r="C142" s="20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8" x14ac:dyDescent="0.35">
      <c r="A143" s="1"/>
      <c r="B143" s="19"/>
      <c r="C143" s="20"/>
      <c r="D143" s="21"/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8" x14ac:dyDescent="0.35">
      <c r="A144" s="1"/>
      <c r="B144" s="19"/>
      <c r="C144" s="20"/>
      <c r="D144" s="21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8" x14ac:dyDescent="0.35">
      <c r="A145" s="1"/>
      <c r="B145" s="19"/>
      <c r="C145" s="20"/>
      <c r="D145" s="21"/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8" x14ac:dyDescent="0.35">
      <c r="A146" s="1"/>
      <c r="B146" s="19"/>
      <c r="C146" s="20"/>
      <c r="D146" s="21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8" x14ac:dyDescent="0.35">
      <c r="A147" s="1"/>
      <c r="B147" s="19"/>
      <c r="C147" s="20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8" x14ac:dyDescent="0.35">
      <c r="A148" s="1"/>
      <c r="B148" s="19"/>
      <c r="C148" s="20"/>
      <c r="D148" s="21"/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8" x14ac:dyDescent="0.35">
      <c r="A149" s="1"/>
      <c r="B149" s="19"/>
      <c r="C149" s="20"/>
      <c r="D149" s="21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8" x14ac:dyDescent="0.35">
      <c r="A150" s="1"/>
      <c r="B150" s="19"/>
      <c r="C150" s="20"/>
      <c r="D150" s="21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8" x14ac:dyDescent="0.35">
      <c r="A151" s="1"/>
      <c r="B151" s="19"/>
      <c r="C151" s="20"/>
      <c r="D151" s="21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8" x14ac:dyDescent="0.35">
      <c r="A152" s="1"/>
      <c r="B152" s="19"/>
      <c r="C152" s="20"/>
      <c r="D152" s="21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8" x14ac:dyDescent="0.35">
      <c r="A153" s="1"/>
      <c r="B153" s="19"/>
      <c r="C153" s="20"/>
      <c r="D153" s="21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8" x14ac:dyDescent="0.35">
      <c r="A154" s="1"/>
      <c r="B154" s="19"/>
      <c r="C154" s="20"/>
      <c r="D154" s="21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8" x14ac:dyDescent="0.35">
      <c r="A155" s="1"/>
      <c r="B155" s="19"/>
      <c r="C155" s="20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8" x14ac:dyDescent="0.35">
      <c r="A156" s="1"/>
      <c r="B156" s="19"/>
      <c r="C156" s="20"/>
      <c r="D156" s="21"/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8" x14ac:dyDescent="0.35">
      <c r="A157" s="1"/>
      <c r="B157" s="19"/>
      <c r="C157" s="20"/>
      <c r="D157" s="21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8" x14ac:dyDescent="0.35">
      <c r="A158" s="1"/>
      <c r="B158" s="19"/>
      <c r="C158" s="20"/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8" x14ac:dyDescent="0.35">
      <c r="A159" s="1"/>
      <c r="B159" s="19"/>
      <c r="C159" s="20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8" x14ac:dyDescent="0.35">
      <c r="A160" s="1"/>
      <c r="B160" s="19"/>
      <c r="C160" s="20"/>
      <c r="D160" s="21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8" x14ac:dyDescent="0.35">
      <c r="A161" s="1"/>
      <c r="B161" s="19"/>
      <c r="C161" s="20"/>
      <c r="D161" s="21"/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8" x14ac:dyDescent="0.35">
      <c r="A162" s="1"/>
      <c r="B162" s="19"/>
      <c r="C162" s="20"/>
      <c r="D162" s="21"/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8" x14ac:dyDescent="0.35">
      <c r="A163" s="1"/>
      <c r="B163" s="19"/>
      <c r="C163" s="20"/>
      <c r="D163" s="21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8" x14ac:dyDescent="0.35">
      <c r="A164" s="1"/>
      <c r="B164" s="19"/>
      <c r="C164" s="20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8" x14ac:dyDescent="0.35">
      <c r="A165" s="1"/>
      <c r="B165" s="19"/>
      <c r="C165" s="20"/>
      <c r="D165" s="21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8" x14ac:dyDescent="0.35">
      <c r="A166" s="1"/>
      <c r="B166" s="19"/>
      <c r="C166" s="20"/>
      <c r="D166" s="21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8" x14ac:dyDescent="0.35">
      <c r="A167" s="1"/>
      <c r="B167" s="19"/>
      <c r="C167" s="20"/>
      <c r="D167" s="21"/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8" x14ac:dyDescent="0.35">
      <c r="A168" s="1"/>
      <c r="B168" s="19"/>
      <c r="C168" s="20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8" x14ac:dyDescent="0.35">
      <c r="A169" s="1"/>
      <c r="B169" s="19"/>
      <c r="C169" s="20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8" x14ac:dyDescent="0.35">
      <c r="A170" s="1"/>
      <c r="B170" s="19"/>
      <c r="C170" s="20"/>
      <c r="D170" s="21"/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8" x14ac:dyDescent="0.35">
      <c r="A171" s="1"/>
      <c r="B171" s="19"/>
      <c r="C171" s="20"/>
      <c r="D171" s="21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8" x14ac:dyDescent="0.35">
      <c r="A172" s="1"/>
      <c r="B172" s="19"/>
      <c r="C172" s="20"/>
      <c r="D172" s="21"/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8" x14ac:dyDescent="0.35">
      <c r="A173" s="1"/>
      <c r="B173" s="19"/>
      <c r="C173" s="20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8" x14ac:dyDescent="0.35">
      <c r="A174" s="1"/>
      <c r="B174" s="19"/>
      <c r="C174" s="20"/>
      <c r="D174" s="21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8" x14ac:dyDescent="0.35">
      <c r="A175" s="1"/>
      <c r="B175" s="19"/>
      <c r="C175" s="20"/>
      <c r="D175" s="21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8" x14ac:dyDescent="0.35">
      <c r="A176" s="1"/>
      <c r="B176" s="19"/>
      <c r="C176" s="20"/>
      <c r="D176" s="21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8" x14ac:dyDescent="0.35">
      <c r="A177" s="1"/>
      <c r="B177" s="19"/>
      <c r="C177" s="20"/>
      <c r="D177" s="21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8" x14ac:dyDescent="0.35">
      <c r="A178" s="1"/>
      <c r="B178" s="19"/>
      <c r="C178" s="20"/>
      <c r="D178" s="21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8" x14ac:dyDescent="0.35">
      <c r="A179" s="1"/>
      <c r="B179" s="19"/>
      <c r="C179" s="20"/>
      <c r="D179" s="21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8" x14ac:dyDescent="0.35">
      <c r="A180" s="1"/>
      <c r="B180" s="19"/>
      <c r="C180" s="20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8" x14ac:dyDescent="0.35">
      <c r="A181" s="1"/>
      <c r="B181" s="19"/>
      <c r="C181" s="20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8" x14ac:dyDescent="0.35">
      <c r="A182" s="1"/>
      <c r="B182" s="19"/>
      <c r="C182" s="20"/>
      <c r="D182" s="21"/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8" x14ac:dyDescent="0.35">
      <c r="A183" s="1"/>
      <c r="B183" s="19"/>
      <c r="C183" s="20"/>
      <c r="D183" s="21"/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8" x14ac:dyDescent="0.35">
      <c r="A184" s="1"/>
      <c r="B184" s="19"/>
      <c r="C184" s="20"/>
      <c r="D184" s="21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8" x14ac:dyDescent="0.35">
      <c r="A185" s="1"/>
      <c r="B185" s="19"/>
      <c r="C185" s="20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8" x14ac:dyDescent="0.35">
      <c r="A186" s="1"/>
      <c r="B186" s="19"/>
      <c r="C186" s="20"/>
      <c r="D186" s="21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8" x14ac:dyDescent="0.35">
      <c r="A187" s="1"/>
      <c r="B187" s="19"/>
      <c r="C187" s="20"/>
      <c r="D187" s="21"/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8" x14ac:dyDescent="0.35">
      <c r="A188" s="1"/>
      <c r="B188" s="19"/>
      <c r="C188" s="20"/>
      <c r="D188" s="21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8" x14ac:dyDescent="0.35">
      <c r="A189" s="1"/>
      <c r="B189" s="19"/>
      <c r="C189" s="20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8" x14ac:dyDescent="0.35">
      <c r="A190" s="1"/>
      <c r="B190" s="19"/>
      <c r="C190" s="20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8" x14ac:dyDescent="0.35">
      <c r="A191" s="1"/>
      <c r="B191" s="19"/>
      <c r="C191" s="20"/>
      <c r="D191" s="21"/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8" x14ac:dyDescent="0.35">
      <c r="A192" s="1"/>
      <c r="B192" s="19"/>
      <c r="C192" s="20"/>
      <c r="D192" s="21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8" x14ac:dyDescent="0.35">
      <c r="A193" s="1"/>
      <c r="B193" s="19"/>
      <c r="C193" s="20"/>
      <c r="D193" s="21"/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8" x14ac:dyDescent="0.35">
      <c r="A194" s="1"/>
      <c r="B194" s="19"/>
      <c r="C194" s="20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8" x14ac:dyDescent="0.35">
      <c r="A195" s="1"/>
      <c r="B195" s="19"/>
      <c r="C195" s="20"/>
      <c r="D195" s="21"/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8" x14ac:dyDescent="0.35">
      <c r="A196" s="1"/>
      <c r="B196" s="19"/>
      <c r="C196" s="20"/>
      <c r="D196" s="21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8" x14ac:dyDescent="0.35">
      <c r="A197" s="1"/>
      <c r="B197" s="19"/>
      <c r="C197" s="20"/>
      <c r="D197" s="21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8" x14ac:dyDescent="0.35">
      <c r="A198" s="1"/>
      <c r="B198" s="19"/>
      <c r="C198" s="20"/>
      <c r="D198" s="21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8" x14ac:dyDescent="0.35">
      <c r="A199" s="1"/>
      <c r="B199" s="19"/>
      <c r="C199" s="20"/>
      <c r="D199" s="21"/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8" x14ac:dyDescent="0.35">
      <c r="A200" s="1"/>
      <c r="B200" s="19"/>
      <c r="C200" s="20"/>
      <c r="D200" s="21"/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8" x14ac:dyDescent="0.35">
      <c r="A201" s="1"/>
      <c r="B201" s="19"/>
      <c r="C201" s="20"/>
      <c r="D201" s="21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8" x14ac:dyDescent="0.35">
      <c r="A202" s="1"/>
      <c r="B202" s="19"/>
      <c r="C202" s="20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8" x14ac:dyDescent="0.35">
      <c r="A203" s="1"/>
      <c r="B203" s="19"/>
      <c r="C203" s="20"/>
      <c r="D203" s="21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8" x14ac:dyDescent="0.35">
      <c r="A204" s="1"/>
      <c r="B204" s="19"/>
      <c r="C204" s="20"/>
      <c r="D204" s="21"/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8" x14ac:dyDescent="0.35">
      <c r="A205" s="1"/>
      <c r="B205" s="19"/>
      <c r="C205" s="20"/>
      <c r="D205" s="21"/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8" x14ac:dyDescent="0.35">
      <c r="A206" s="1"/>
      <c r="B206" s="19"/>
      <c r="C206" s="20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8" x14ac:dyDescent="0.35">
      <c r="A207" s="1"/>
      <c r="B207" s="19"/>
      <c r="C207" s="20"/>
      <c r="D207" s="21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8" x14ac:dyDescent="0.35">
      <c r="A208" s="1"/>
      <c r="B208" s="19"/>
      <c r="C208" s="20"/>
      <c r="D208" s="21"/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8" x14ac:dyDescent="0.35">
      <c r="A209" s="1"/>
      <c r="B209" s="19"/>
      <c r="C209" s="20"/>
      <c r="D209" s="21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8" x14ac:dyDescent="0.35">
      <c r="A210" s="1"/>
      <c r="B210" s="19"/>
      <c r="C210" s="20"/>
      <c r="D210" s="21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8" x14ac:dyDescent="0.35">
      <c r="A211" s="1"/>
      <c r="B211" s="19"/>
      <c r="C211" s="20"/>
      <c r="D211" s="21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8" x14ac:dyDescent="0.35">
      <c r="A212" s="1"/>
      <c r="B212" s="19"/>
      <c r="C212" s="20"/>
      <c r="D212" s="21"/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8" x14ac:dyDescent="0.35">
      <c r="A213" s="1"/>
      <c r="B213" s="19"/>
      <c r="C213" s="20"/>
      <c r="D213" s="21"/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8" x14ac:dyDescent="0.35">
      <c r="A214" s="1"/>
      <c r="B214" s="19"/>
      <c r="C214" s="20"/>
      <c r="D214" s="21"/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8" x14ac:dyDescent="0.35">
      <c r="A215" s="1"/>
      <c r="B215" s="19"/>
      <c r="C215" s="20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8" x14ac:dyDescent="0.35">
      <c r="A216" s="1"/>
      <c r="B216" s="19"/>
      <c r="C216" s="20"/>
      <c r="D216" s="21"/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8" x14ac:dyDescent="0.35">
      <c r="A217" s="1"/>
      <c r="B217" s="19"/>
      <c r="C217" s="20"/>
      <c r="D217" s="21"/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8" x14ac:dyDescent="0.35">
      <c r="A218" s="1"/>
      <c r="B218" s="19"/>
      <c r="C218" s="20"/>
      <c r="D218" s="21"/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8" x14ac:dyDescent="0.35">
      <c r="A219" s="1"/>
      <c r="B219" s="19"/>
      <c r="C219" s="20"/>
      <c r="D219" s="21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8" x14ac:dyDescent="0.35">
      <c r="A220" s="1"/>
      <c r="B220" s="19"/>
      <c r="C220" s="20"/>
      <c r="D220" s="21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8" x14ac:dyDescent="0.35">
      <c r="A221" s="1"/>
      <c r="B221" s="19"/>
      <c r="C221" s="20"/>
      <c r="D221" s="21"/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8" x14ac:dyDescent="0.35">
      <c r="A222" s="1"/>
      <c r="B222" s="19"/>
      <c r="C222" s="20"/>
      <c r="D222" s="21"/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8" x14ac:dyDescent="0.35">
      <c r="A223" s="1"/>
      <c r="B223" s="19"/>
      <c r="C223" s="20"/>
      <c r="D223" s="21"/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8" x14ac:dyDescent="0.35">
      <c r="A224" s="1"/>
      <c r="B224" s="19"/>
      <c r="C224" s="20"/>
      <c r="D224" s="21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8" x14ac:dyDescent="0.35">
      <c r="A225" s="1"/>
      <c r="B225" s="19"/>
      <c r="C225" s="20"/>
      <c r="D225" s="21"/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8" x14ac:dyDescent="0.35">
      <c r="A226" s="1"/>
      <c r="B226" s="19"/>
      <c r="C226" s="20"/>
      <c r="D226" s="21"/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8" x14ac:dyDescent="0.35">
      <c r="A227" s="1"/>
      <c r="B227" s="19"/>
      <c r="C227" s="20"/>
      <c r="D227" s="21"/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8" x14ac:dyDescent="0.35">
      <c r="A228" s="1"/>
      <c r="B228" s="19"/>
      <c r="C228" s="20"/>
      <c r="D228" s="21"/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8" x14ac:dyDescent="0.35">
      <c r="A229" s="1"/>
      <c r="B229" s="19"/>
      <c r="C229" s="20"/>
      <c r="D229" s="21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8" x14ac:dyDescent="0.35">
      <c r="A230" s="1"/>
      <c r="B230" s="19"/>
      <c r="C230" s="20"/>
      <c r="D230" s="21"/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8" x14ac:dyDescent="0.35">
      <c r="A231" s="1"/>
      <c r="B231" s="19"/>
      <c r="C231" s="20"/>
      <c r="D231" s="21"/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8" x14ac:dyDescent="0.35">
      <c r="A232" s="1"/>
      <c r="B232" s="19"/>
      <c r="C232" s="20"/>
      <c r="D232" s="21"/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8" x14ac:dyDescent="0.35">
      <c r="A233" s="1"/>
      <c r="B233" s="19"/>
      <c r="C233" s="20"/>
      <c r="D233" s="21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8" x14ac:dyDescent="0.35">
      <c r="A234" s="1"/>
      <c r="B234" s="19"/>
      <c r="C234" s="20"/>
      <c r="D234" s="21"/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8" x14ac:dyDescent="0.35">
      <c r="A235" s="1"/>
      <c r="B235" s="19"/>
      <c r="C235" s="20"/>
      <c r="D235" s="21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8" x14ac:dyDescent="0.35">
      <c r="A236" s="1"/>
      <c r="B236" s="19"/>
      <c r="C236" s="20"/>
      <c r="D236" s="21"/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8" x14ac:dyDescent="0.35">
      <c r="A237" s="1"/>
      <c r="B237" s="19"/>
      <c r="C237" s="20"/>
      <c r="D237" s="21"/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8" x14ac:dyDescent="0.35">
      <c r="A238" s="1"/>
      <c r="B238" s="19"/>
      <c r="C238" s="20"/>
      <c r="D238" s="21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8" x14ac:dyDescent="0.35">
      <c r="A239" s="1"/>
      <c r="B239" s="19"/>
      <c r="C239" s="20"/>
      <c r="D239" s="21"/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8" x14ac:dyDescent="0.35">
      <c r="A240" s="1"/>
      <c r="B240" s="19"/>
      <c r="C240" s="20"/>
      <c r="D240" s="21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8" x14ac:dyDescent="0.35">
      <c r="A241" s="1"/>
      <c r="B241" s="19"/>
      <c r="C241" s="20"/>
      <c r="D241" s="21"/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8" x14ac:dyDescent="0.35">
      <c r="A242" s="1"/>
      <c r="B242" s="19"/>
      <c r="C242" s="20"/>
      <c r="D242" s="21"/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8" x14ac:dyDescent="0.35">
      <c r="A243" s="1"/>
      <c r="B243" s="19"/>
      <c r="C243" s="20"/>
      <c r="D243" s="21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8" x14ac:dyDescent="0.35">
      <c r="A244" s="1"/>
      <c r="B244" s="19"/>
      <c r="C244" s="20"/>
      <c r="D244" s="21"/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8" x14ac:dyDescent="0.35">
      <c r="A245" s="1"/>
      <c r="B245" s="19"/>
      <c r="C245" s="20"/>
      <c r="D245" s="21"/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8" x14ac:dyDescent="0.35">
      <c r="A246" s="1"/>
      <c r="B246" s="19"/>
      <c r="C246" s="20"/>
      <c r="D246" s="21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8" x14ac:dyDescent="0.35">
      <c r="A247" s="1"/>
      <c r="B247" s="19"/>
      <c r="C247" s="20"/>
      <c r="D247" s="21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8" x14ac:dyDescent="0.35">
      <c r="A248" s="1"/>
      <c r="B248" s="19"/>
      <c r="C248" s="20"/>
      <c r="D248" s="21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8" x14ac:dyDescent="0.35">
      <c r="A249" s="1"/>
      <c r="B249" s="19"/>
      <c r="C249" s="20"/>
      <c r="D249" s="21"/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8" x14ac:dyDescent="0.35">
      <c r="A250" s="1"/>
      <c r="B250" s="19"/>
      <c r="C250" s="20"/>
      <c r="D250" s="21"/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8" x14ac:dyDescent="0.35">
      <c r="A251" s="1"/>
      <c r="B251" s="19"/>
      <c r="C251" s="20"/>
      <c r="D251" s="21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8" x14ac:dyDescent="0.35">
      <c r="A252" s="1"/>
      <c r="B252" s="19"/>
      <c r="C252" s="20"/>
      <c r="D252" s="21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8" x14ac:dyDescent="0.35">
      <c r="A253" s="1"/>
      <c r="B253" s="19"/>
      <c r="C253" s="20"/>
      <c r="D253" s="21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8" x14ac:dyDescent="0.35">
      <c r="A254" s="1"/>
      <c r="B254" s="19"/>
      <c r="C254" s="20"/>
      <c r="D254" s="21"/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8" x14ac:dyDescent="0.35">
      <c r="A255" s="1"/>
      <c r="B255" s="19"/>
      <c r="C255" s="20"/>
      <c r="D255" s="21"/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8" x14ac:dyDescent="0.35">
      <c r="A256" s="1"/>
      <c r="B256" s="19"/>
      <c r="C256" s="20"/>
      <c r="D256" s="21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8" x14ac:dyDescent="0.35">
      <c r="A257" s="1"/>
      <c r="B257" s="19"/>
      <c r="C257" s="20"/>
      <c r="D257" s="21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8" x14ac:dyDescent="0.35">
      <c r="A258" s="1"/>
      <c r="B258" s="19"/>
      <c r="C258" s="20"/>
      <c r="D258" s="21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8" x14ac:dyDescent="0.35">
      <c r="A259" s="1"/>
      <c r="B259" s="19"/>
      <c r="C259" s="20"/>
      <c r="D259" s="21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8" x14ac:dyDescent="0.35">
      <c r="A260" s="1"/>
      <c r="B260" s="19"/>
      <c r="C260" s="20"/>
      <c r="D260" s="21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8" x14ac:dyDescent="0.35">
      <c r="A261" s="1"/>
      <c r="B261" s="19"/>
      <c r="C261" s="20"/>
      <c r="D261" s="21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8" x14ac:dyDescent="0.35">
      <c r="A262" s="1"/>
      <c r="B262" s="19"/>
      <c r="C262" s="20"/>
      <c r="D262" s="21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8" x14ac:dyDescent="0.35">
      <c r="A263" s="1"/>
      <c r="B263" s="19"/>
      <c r="C263" s="20"/>
      <c r="D263" s="21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8" x14ac:dyDescent="0.35">
      <c r="A264" s="1"/>
      <c r="B264" s="19"/>
      <c r="C264" s="20"/>
      <c r="D264" s="21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8" x14ac:dyDescent="0.35">
      <c r="A265" s="1"/>
      <c r="B265" s="19"/>
      <c r="C265" s="20"/>
      <c r="D265" s="21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8" x14ac:dyDescent="0.35">
      <c r="A266" s="1"/>
      <c r="B266" s="19"/>
      <c r="C266" s="20"/>
      <c r="D266" s="21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8" x14ac:dyDescent="0.35">
      <c r="A267" s="1"/>
      <c r="B267" s="19"/>
      <c r="C267" s="20"/>
      <c r="D267" s="21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8" x14ac:dyDescent="0.35">
      <c r="A268" s="1"/>
      <c r="B268" s="19"/>
      <c r="C268" s="20"/>
      <c r="D268" s="21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8" x14ac:dyDescent="0.35">
      <c r="A269" s="1"/>
      <c r="B269" s="19"/>
      <c r="C269" s="20"/>
      <c r="D269" s="21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8" x14ac:dyDescent="0.35">
      <c r="A270" s="1"/>
      <c r="B270" s="19"/>
      <c r="C270" s="20"/>
      <c r="D270" s="21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8" x14ac:dyDescent="0.35">
      <c r="A271" s="1"/>
      <c r="B271" s="19"/>
      <c r="C271" s="20"/>
      <c r="D271" s="21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8" x14ac:dyDescent="0.35">
      <c r="A272" s="1"/>
      <c r="B272" s="19"/>
      <c r="C272" s="20"/>
      <c r="D272" s="21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8" x14ac:dyDescent="0.35">
      <c r="A273" s="1"/>
      <c r="B273" s="19"/>
      <c r="C273" s="20"/>
      <c r="D273" s="21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8" x14ac:dyDescent="0.35">
      <c r="A274" s="1"/>
      <c r="B274" s="19"/>
      <c r="C274" s="20"/>
      <c r="D274" s="21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8" x14ac:dyDescent="0.35">
      <c r="A275" s="1"/>
      <c r="B275" s="19"/>
      <c r="C275" s="20"/>
      <c r="D275" s="21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8" x14ac:dyDescent="0.35">
      <c r="A276" s="1"/>
      <c r="B276" s="19"/>
      <c r="C276" s="20"/>
      <c r="D276" s="21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8" x14ac:dyDescent="0.35">
      <c r="A277" s="1"/>
      <c r="B277" s="19"/>
      <c r="C277" s="20"/>
      <c r="D277" s="21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8" x14ac:dyDescent="0.35">
      <c r="A278" s="1"/>
      <c r="B278" s="19"/>
      <c r="C278" s="20"/>
      <c r="D278" s="21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8" x14ac:dyDescent="0.35">
      <c r="A279" s="1"/>
      <c r="B279" s="19"/>
      <c r="C279" s="20"/>
      <c r="D279" s="21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8" x14ac:dyDescent="0.35">
      <c r="A280" s="1"/>
      <c r="B280" s="19"/>
      <c r="C280" s="20"/>
      <c r="D280" s="21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8" x14ac:dyDescent="0.35">
      <c r="A281" s="1"/>
      <c r="B281" s="19"/>
      <c r="C281" s="20"/>
      <c r="D281" s="21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8" x14ac:dyDescent="0.35">
      <c r="A282" s="1"/>
      <c r="B282" s="19"/>
      <c r="C282" s="20"/>
      <c r="D282" s="21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8" x14ac:dyDescent="0.35">
      <c r="A283" s="1"/>
      <c r="B283" s="19"/>
      <c r="C283" s="20"/>
      <c r="D283" s="21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8" x14ac:dyDescent="0.35">
      <c r="A284" s="1"/>
      <c r="B284" s="19"/>
      <c r="C284" s="20"/>
      <c r="D284" s="21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8" x14ac:dyDescent="0.35">
      <c r="A285" s="1"/>
      <c r="B285" s="19"/>
      <c r="C285" s="20"/>
      <c r="D285" s="21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8" x14ac:dyDescent="0.35">
      <c r="A286" s="1"/>
      <c r="B286" s="19"/>
      <c r="C286" s="20"/>
      <c r="D286" s="21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8" x14ac:dyDescent="0.35">
      <c r="A287" s="1"/>
      <c r="B287" s="19"/>
      <c r="C287" s="20"/>
      <c r="D287" s="21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8" x14ac:dyDescent="0.35">
      <c r="A288" s="1"/>
      <c r="B288" s="19"/>
      <c r="C288" s="20"/>
      <c r="D288" s="21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8" x14ac:dyDescent="0.35">
      <c r="A289" s="1"/>
      <c r="B289" s="19"/>
      <c r="C289" s="20"/>
      <c r="D289" s="21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8" x14ac:dyDescent="0.35">
      <c r="A290" s="1"/>
      <c r="B290" s="19"/>
      <c r="C290" s="20"/>
      <c r="D290" s="21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8" x14ac:dyDescent="0.35">
      <c r="A291" s="1"/>
      <c r="B291" s="19"/>
      <c r="C291" s="20"/>
      <c r="D291" s="21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8" x14ac:dyDescent="0.35">
      <c r="A292" s="1"/>
      <c r="B292" s="19"/>
      <c r="C292" s="20"/>
      <c r="D292" s="21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8" x14ac:dyDescent="0.35">
      <c r="A293" s="1"/>
      <c r="B293" s="19"/>
      <c r="C293" s="20"/>
      <c r="D293" s="21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8" x14ac:dyDescent="0.35">
      <c r="A294" s="1"/>
      <c r="B294" s="19"/>
      <c r="C294" s="20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8" x14ac:dyDescent="0.35">
      <c r="A295" s="1"/>
      <c r="B295" s="19"/>
      <c r="C295" s="20"/>
      <c r="D295" s="21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8" x14ac:dyDescent="0.35">
      <c r="A296" s="1"/>
      <c r="B296" s="19"/>
      <c r="C296" s="20"/>
      <c r="D296" s="21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8" x14ac:dyDescent="0.35">
      <c r="A297" s="1"/>
      <c r="B297" s="19"/>
      <c r="C297" s="20"/>
      <c r="D297" s="21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8" x14ac:dyDescent="0.35">
      <c r="A298" s="1"/>
      <c r="B298" s="19"/>
      <c r="C298" s="20"/>
      <c r="D298" s="21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8" x14ac:dyDescent="0.35">
      <c r="A299" s="1"/>
      <c r="B299" s="19"/>
      <c r="C299" s="20"/>
      <c r="D299" s="21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8" x14ac:dyDescent="0.35">
      <c r="A300" s="1"/>
      <c r="B300" s="19"/>
      <c r="C300" s="20"/>
      <c r="D300" s="21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8" x14ac:dyDescent="0.35">
      <c r="A301" s="1"/>
      <c r="B301" s="19"/>
      <c r="C301" s="20"/>
      <c r="D301" s="21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8" x14ac:dyDescent="0.35">
      <c r="A302" s="1"/>
      <c r="B302" s="19"/>
      <c r="C302" s="20"/>
      <c r="D302" s="21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8" x14ac:dyDescent="0.35">
      <c r="A303" s="1"/>
      <c r="B303" s="19"/>
      <c r="C303" s="20"/>
      <c r="D303" s="21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8" x14ac:dyDescent="0.35">
      <c r="A304" s="1"/>
      <c r="B304" s="19"/>
      <c r="C304" s="20"/>
      <c r="D304" s="21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8" x14ac:dyDescent="0.35">
      <c r="A305" s="1"/>
      <c r="B305" s="19"/>
      <c r="C305" s="20"/>
      <c r="D305" s="21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8" x14ac:dyDescent="0.35">
      <c r="A306" s="1"/>
      <c r="B306" s="19"/>
      <c r="C306" s="20"/>
      <c r="D306" s="21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8" x14ac:dyDescent="0.35">
      <c r="A307" s="1"/>
      <c r="B307" s="19"/>
      <c r="C307" s="20"/>
      <c r="D307" s="21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8" x14ac:dyDescent="0.35">
      <c r="A308" s="1"/>
      <c r="B308" s="19"/>
      <c r="C308" s="20"/>
      <c r="D308" s="21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8" x14ac:dyDescent="0.35">
      <c r="A309" s="1"/>
      <c r="B309" s="19"/>
      <c r="C309" s="20"/>
      <c r="D309" s="21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8" x14ac:dyDescent="0.35">
      <c r="A310" s="1"/>
      <c r="B310" s="19"/>
      <c r="C310" s="20"/>
      <c r="D310" s="21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8" x14ac:dyDescent="0.35">
      <c r="A311" s="1"/>
      <c r="B311" s="19"/>
      <c r="C311" s="20"/>
      <c r="D311" s="21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8" x14ac:dyDescent="0.35">
      <c r="A312" s="1"/>
      <c r="B312" s="19"/>
      <c r="C312" s="20"/>
      <c r="D312" s="21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8" x14ac:dyDescent="0.35">
      <c r="A313" s="1"/>
      <c r="B313" s="19"/>
      <c r="C313" s="20"/>
      <c r="D313" s="21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8" x14ac:dyDescent="0.35">
      <c r="A314" s="1"/>
      <c r="B314" s="19"/>
      <c r="C314" s="20"/>
      <c r="D314" s="21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8" x14ac:dyDescent="0.35">
      <c r="A315" s="1"/>
      <c r="B315" s="19"/>
      <c r="C315" s="20"/>
      <c r="D315" s="21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8" x14ac:dyDescent="0.35">
      <c r="A316" s="1"/>
      <c r="B316" s="19"/>
      <c r="C316" s="20"/>
      <c r="D316" s="21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8" x14ac:dyDescent="0.35">
      <c r="A317" s="1"/>
      <c r="B317" s="19"/>
      <c r="C317" s="20"/>
      <c r="D317" s="21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8" x14ac:dyDescent="0.35">
      <c r="A318" s="1"/>
      <c r="B318" s="19"/>
      <c r="C318" s="20"/>
      <c r="D318" s="21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8" x14ac:dyDescent="0.35">
      <c r="A319" s="1"/>
      <c r="B319" s="19"/>
      <c r="C319" s="20"/>
      <c r="D319" s="21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8" x14ac:dyDescent="0.35">
      <c r="A320" s="1"/>
      <c r="B320" s="19"/>
      <c r="C320" s="20"/>
      <c r="D320" s="21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8" x14ac:dyDescent="0.35">
      <c r="A321" s="1"/>
      <c r="B321" s="19"/>
      <c r="C321" s="20"/>
      <c r="D321" s="21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8" x14ac:dyDescent="0.35">
      <c r="A322" s="1"/>
      <c r="B322" s="19"/>
      <c r="C322" s="20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8" x14ac:dyDescent="0.35">
      <c r="A323" s="1"/>
      <c r="B323" s="19"/>
      <c r="C323" s="20"/>
      <c r="D323" s="21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8" x14ac:dyDescent="0.35">
      <c r="A324" s="1"/>
      <c r="B324" s="19"/>
      <c r="C324" s="20"/>
      <c r="D324" s="21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8" x14ac:dyDescent="0.35">
      <c r="A325" s="1"/>
      <c r="B325" s="19"/>
      <c r="C325" s="20"/>
      <c r="D325" s="21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8" x14ac:dyDescent="0.35">
      <c r="A326" s="1"/>
      <c r="B326" s="19"/>
      <c r="C326" s="20"/>
      <c r="D326" s="21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8" x14ac:dyDescent="0.35">
      <c r="A327" s="1"/>
      <c r="B327" s="19"/>
      <c r="C327" s="20"/>
      <c r="D327" s="21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8" x14ac:dyDescent="0.35">
      <c r="A328" s="1"/>
      <c r="B328" s="19"/>
      <c r="C328" s="20"/>
      <c r="D328" s="21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8" x14ac:dyDescent="0.35">
      <c r="A329" s="1"/>
      <c r="B329" s="19"/>
      <c r="C329" s="20"/>
      <c r="D329" s="21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8" x14ac:dyDescent="0.35">
      <c r="A330" s="1"/>
      <c r="B330" s="19"/>
      <c r="C330" s="20"/>
      <c r="D330" s="21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8" x14ac:dyDescent="0.35">
      <c r="A331" s="1"/>
      <c r="B331" s="19"/>
      <c r="C331" s="20"/>
      <c r="D331" s="21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8" x14ac:dyDescent="0.35">
      <c r="A332" s="1"/>
      <c r="B332" s="19"/>
      <c r="C332" s="20"/>
      <c r="D332" s="21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8" x14ac:dyDescent="0.35">
      <c r="A333" s="1"/>
      <c r="B333" s="19"/>
      <c r="C333" s="20"/>
      <c r="D333" s="21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8" x14ac:dyDescent="0.35">
      <c r="A334" s="1"/>
      <c r="B334" s="19"/>
      <c r="C334" s="20"/>
      <c r="D334" s="21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8" x14ac:dyDescent="0.35">
      <c r="A335" s="1"/>
      <c r="B335" s="19"/>
      <c r="C335" s="20"/>
      <c r="D335" s="21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8" x14ac:dyDescent="0.35">
      <c r="A336" s="1"/>
      <c r="B336" s="19"/>
      <c r="C336" s="20"/>
      <c r="D336" s="21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8" x14ac:dyDescent="0.35">
      <c r="A337" s="1"/>
      <c r="B337" s="19"/>
      <c r="C337" s="20"/>
      <c r="D337" s="21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8" x14ac:dyDescent="0.35">
      <c r="A338" s="1"/>
      <c r="B338" s="19"/>
      <c r="C338" s="20"/>
      <c r="D338" s="21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8" x14ac:dyDescent="0.35">
      <c r="A339" s="1"/>
      <c r="B339" s="19"/>
      <c r="C339" s="20"/>
      <c r="D339" s="21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8" x14ac:dyDescent="0.35">
      <c r="A340" s="1"/>
      <c r="B340" s="19"/>
      <c r="C340" s="20"/>
      <c r="D340" s="21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8" x14ac:dyDescent="0.35">
      <c r="A341" s="1"/>
      <c r="B341" s="19"/>
      <c r="C341" s="20"/>
      <c r="D341" s="21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8" x14ac:dyDescent="0.35">
      <c r="A342" s="1"/>
      <c r="B342" s="19"/>
      <c r="C342" s="20"/>
      <c r="D342" s="21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8" x14ac:dyDescent="0.35">
      <c r="A343" s="1"/>
      <c r="B343" s="19"/>
      <c r="C343" s="20"/>
      <c r="D343" s="21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8" x14ac:dyDescent="0.35">
      <c r="A344" s="1"/>
      <c r="B344" s="19"/>
      <c r="C344" s="20"/>
      <c r="D344" s="21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8" x14ac:dyDescent="0.35">
      <c r="A345" s="1"/>
      <c r="B345" s="19"/>
      <c r="C345" s="20"/>
      <c r="D345" s="21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8" x14ac:dyDescent="0.35">
      <c r="A346" s="1"/>
      <c r="B346" s="19"/>
      <c r="C346" s="20"/>
      <c r="D346" s="21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8" x14ac:dyDescent="0.35">
      <c r="A347" s="1"/>
      <c r="B347" s="19"/>
      <c r="C347" s="20"/>
      <c r="D347" s="21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8" x14ac:dyDescent="0.35">
      <c r="A348" s="1"/>
      <c r="B348" s="19"/>
      <c r="C348" s="20"/>
      <c r="D348" s="21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8" x14ac:dyDescent="0.35">
      <c r="A349" s="1"/>
      <c r="B349" s="19"/>
      <c r="C349" s="20"/>
      <c r="D349" s="21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8" x14ac:dyDescent="0.35">
      <c r="A350" s="1"/>
      <c r="B350" s="19"/>
      <c r="C350" s="20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8" x14ac:dyDescent="0.35">
      <c r="A351" s="1"/>
      <c r="B351" s="19"/>
      <c r="C351" s="20"/>
      <c r="D351" s="21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8" x14ac:dyDescent="0.35">
      <c r="A352" s="1"/>
      <c r="B352" s="19"/>
      <c r="C352" s="20"/>
      <c r="D352" s="21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8" x14ac:dyDescent="0.35">
      <c r="A353" s="1"/>
      <c r="B353" s="19"/>
      <c r="C353" s="20"/>
      <c r="D353" s="21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8" x14ac:dyDescent="0.35">
      <c r="A354" s="1"/>
      <c r="B354" s="19"/>
      <c r="C354" s="20"/>
      <c r="D354" s="21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8" x14ac:dyDescent="0.35">
      <c r="A355" s="1"/>
      <c r="B355" s="19"/>
      <c r="C355" s="20"/>
      <c r="D355" s="21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8" x14ac:dyDescent="0.35">
      <c r="A356" s="1"/>
      <c r="B356" s="19"/>
      <c r="C356" s="20"/>
      <c r="D356" s="21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8" x14ac:dyDescent="0.35">
      <c r="A357" s="1"/>
      <c r="B357" s="19"/>
      <c r="C357" s="20"/>
      <c r="D357" s="21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8" x14ac:dyDescent="0.35">
      <c r="A358" s="1"/>
      <c r="B358" s="19"/>
      <c r="C358" s="20"/>
      <c r="D358" s="21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8" x14ac:dyDescent="0.35">
      <c r="A359" s="1"/>
      <c r="B359" s="19"/>
      <c r="C359" s="20"/>
      <c r="D359" s="21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8" x14ac:dyDescent="0.35">
      <c r="A360" s="1"/>
      <c r="B360" s="19"/>
      <c r="C360" s="20"/>
      <c r="D360" s="21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8" x14ac:dyDescent="0.35">
      <c r="A361" s="1"/>
      <c r="B361" s="19"/>
      <c r="C361" s="20"/>
      <c r="D361" s="21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8" x14ac:dyDescent="0.35">
      <c r="A362" s="1"/>
      <c r="B362" s="19"/>
      <c r="C362" s="20"/>
      <c r="D362" s="21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8" x14ac:dyDescent="0.35">
      <c r="A363" s="1"/>
      <c r="B363" s="19"/>
      <c r="C363" s="20"/>
      <c r="D363" s="21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8" x14ac:dyDescent="0.35">
      <c r="A364" s="1"/>
      <c r="B364" s="19"/>
      <c r="C364" s="20"/>
      <c r="D364" s="21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8" x14ac:dyDescent="0.35">
      <c r="A365" s="1"/>
      <c r="B365" s="19"/>
      <c r="C365" s="20"/>
      <c r="D365" s="21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8" x14ac:dyDescent="0.35">
      <c r="A366" s="1"/>
      <c r="B366" s="19"/>
      <c r="C366" s="20"/>
      <c r="D366" s="21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8" x14ac:dyDescent="0.35">
      <c r="A367" s="1"/>
      <c r="B367" s="19"/>
      <c r="C367" s="20"/>
      <c r="D367" s="21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8" x14ac:dyDescent="0.35">
      <c r="A368" s="1"/>
      <c r="B368" s="19"/>
      <c r="C368" s="20"/>
      <c r="D368" s="21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8" x14ac:dyDescent="0.35">
      <c r="A369" s="1"/>
      <c r="B369" s="19"/>
      <c r="C369" s="20"/>
      <c r="D369" s="21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8" x14ac:dyDescent="0.35">
      <c r="A370" s="1"/>
      <c r="B370" s="19"/>
      <c r="C370" s="20"/>
      <c r="D370" s="21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8" x14ac:dyDescent="0.35">
      <c r="A371" s="1"/>
      <c r="B371" s="19"/>
      <c r="C371" s="20"/>
      <c r="D371" s="21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8" x14ac:dyDescent="0.35">
      <c r="A372" s="1"/>
      <c r="B372" s="19"/>
      <c r="C372" s="20"/>
      <c r="D372" s="21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8" x14ac:dyDescent="0.35">
      <c r="A373" s="1"/>
      <c r="B373" s="19"/>
      <c r="C373" s="20"/>
      <c r="D373" s="21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8" x14ac:dyDescent="0.35">
      <c r="A374" s="1"/>
      <c r="B374" s="19"/>
      <c r="C374" s="20"/>
      <c r="D374" s="21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8" x14ac:dyDescent="0.35">
      <c r="A375" s="1"/>
      <c r="B375" s="19"/>
      <c r="C375" s="20"/>
      <c r="D375" s="21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8" x14ac:dyDescent="0.35">
      <c r="A376" s="1"/>
      <c r="B376" s="19"/>
      <c r="C376" s="20"/>
      <c r="D376" s="21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8" x14ac:dyDescent="0.35">
      <c r="A377" s="1"/>
      <c r="B377" s="19"/>
      <c r="C377" s="20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8" x14ac:dyDescent="0.35">
      <c r="A378" s="1"/>
      <c r="B378" s="19"/>
      <c r="C378" s="20"/>
      <c r="D378" s="21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8" x14ac:dyDescent="0.35">
      <c r="A379" s="1"/>
      <c r="B379" s="19"/>
      <c r="C379" s="20"/>
      <c r="D379" s="21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8" x14ac:dyDescent="0.35">
      <c r="A380" s="1"/>
      <c r="B380" s="19"/>
      <c r="C380" s="20"/>
      <c r="D380" s="21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8" x14ac:dyDescent="0.35">
      <c r="A381" s="1"/>
      <c r="B381" s="19"/>
      <c r="C381" s="20"/>
      <c r="D381" s="21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8" x14ac:dyDescent="0.35">
      <c r="A382" s="1"/>
      <c r="B382" s="19"/>
      <c r="C382" s="20"/>
      <c r="D382" s="21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8" x14ac:dyDescent="0.35">
      <c r="A383" s="1"/>
      <c r="B383" s="19"/>
      <c r="C383" s="20"/>
      <c r="D383" s="21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8" x14ac:dyDescent="0.35">
      <c r="A384" s="1"/>
      <c r="B384" s="19"/>
      <c r="C384" s="20"/>
      <c r="D384" s="21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8" x14ac:dyDescent="0.35">
      <c r="A385" s="1"/>
      <c r="B385" s="19"/>
      <c r="C385" s="20"/>
      <c r="D385" s="21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8" x14ac:dyDescent="0.35">
      <c r="A386" s="1"/>
      <c r="B386" s="19"/>
      <c r="C386" s="20"/>
      <c r="D386" s="21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8" x14ac:dyDescent="0.35">
      <c r="A387" s="1"/>
      <c r="B387" s="19"/>
      <c r="C387" s="20"/>
      <c r="D387" s="21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8" x14ac:dyDescent="0.35">
      <c r="A388" s="1"/>
      <c r="B388" s="19"/>
      <c r="C388" s="20"/>
      <c r="D388" s="21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8" x14ac:dyDescent="0.35">
      <c r="A389" s="1"/>
      <c r="B389" s="19"/>
      <c r="C389" s="20"/>
      <c r="D389" s="21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8" x14ac:dyDescent="0.35">
      <c r="A390" s="1"/>
      <c r="B390" s="19"/>
      <c r="C390" s="20"/>
      <c r="D390" s="21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8" x14ac:dyDescent="0.35">
      <c r="A391" s="1"/>
      <c r="B391" s="19"/>
      <c r="C391" s="20"/>
      <c r="D391" s="21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8" x14ac:dyDescent="0.35">
      <c r="A392" s="1"/>
      <c r="B392" s="19"/>
      <c r="C392" s="20"/>
      <c r="D392" s="21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8" x14ac:dyDescent="0.35">
      <c r="A393" s="1"/>
      <c r="B393" s="19"/>
      <c r="C393" s="20"/>
      <c r="D393" s="21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8" x14ac:dyDescent="0.35">
      <c r="A394" s="1"/>
      <c r="B394" s="19"/>
      <c r="C394" s="20"/>
      <c r="D394" s="21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8" x14ac:dyDescent="0.35">
      <c r="A395" s="1"/>
      <c r="B395" s="19"/>
      <c r="C395" s="20"/>
      <c r="D395" s="21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8" x14ac:dyDescent="0.35">
      <c r="A396" s="1"/>
      <c r="B396" s="19"/>
      <c r="C396" s="20"/>
      <c r="D396" s="21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8" x14ac:dyDescent="0.35">
      <c r="A397" s="1"/>
      <c r="B397" s="19"/>
      <c r="C397" s="20"/>
      <c r="D397" s="21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8" x14ac:dyDescent="0.35">
      <c r="A398" s="1"/>
      <c r="B398" s="19"/>
      <c r="C398" s="20"/>
      <c r="D398" s="21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8" x14ac:dyDescent="0.35">
      <c r="A399" s="1"/>
      <c r="B399" s="19"/>
      <c r="C399" s="20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8" x14ac:dyDescent="0.35">
      <c r="A400" s="1"/>
      <c r="B400" s="19"/>
      <c r="C400" s="20"/>
      <c r="D400" s="21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8" x14ac:dyDescent="0.35">
      <c r="A401" s="1"/>
      <c r="B401" s="19"/>
      <c r="C401" s="20"/>
      <c r="D401" s="21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8" x14ac:dyDescent="0.35">
      <c r="A402" s="1"/>
      <c r="B402" s="19"/>
      <c r="C402" s="20"/>
      <c r="D402" s="21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8" x14ac:dyDescent="0.35">
      <c r="A403" s="1"/>
      <c r="B403" s="19"/>
      <c r="C403" s="20"/>
      <c r="D403" s="21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8" x14ac:dyDescent="0.35">
      <c r="A404" s="1"/>
      <c r="B404" s="19"/>
      <c r="C404" s="20"/>
      <c r="D404" s="21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8" x14ac:dyDescent="0.35">
      <c r="A405" s="1"/>
      <c r="B405" s="19"/>
      <c r="C405" s="20"/>
      <c r="D405" s="21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8" x14ac:dyDescent="0.35">
      <c r="A406" s="1"/>
      <c r="B406" s="19"/>
      <c r="C406" s="20"/>
      <c r="D406" s="21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8" x14ac:dyDescent="0.35">
      <c r="A407" s="1"/>
      <c r="B407" s="19"/>
      <c r="C407" s="20"/>
      <c r="D407" s="21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8" x14ac:dyDescent="0.35">
      <c r="A408" s="1"/>
      <c r="B408" s="19"/>
      <c r="C408" s="20"/>
      <c r="D408" s="21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8" x14ac:dyDescent="0.35">
      <c r="A409" s="1"/>
      <c r="B409" s="19"/>
      <c r="C409" s="20"/>
      <c r="D409" s="21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8" x14ac:dyDescent="0.35">
      <c r="A410" s="1"/>
      <c r="B410" s="19"/>
      <c r="C410" s="20"/>
      <c r="D410" s="21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8" x14ac:dyDescent="0.35">
      <c r="A411" s="1"/>
      <c r="B411" s="19"/>
      <c r="C411" s="20"/>
      <c r="D411" s="21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8" x14ac:dyDescent="0.35">
      <c r="A412" s="1"/>
      <c r="B412" s="19"/>
      <c r="C412" s="20"/>
      <c r="D412" s="21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8" x14ac:dyDescent="0.35">
      <c r="A413" s="1"/>
      <c r="B413" s="19"/>
      <c r="C413" s="20"/>
      <c r="D413" s="21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8" x14ac:dyDescent="0.35">
      <c r="A414" s="1"/>
      <c r="B414" s="19"/>
      <c r="C414" s="20"/>
      <c r="D414" s="21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8" x14ac:dyDescent="0.35">
      <c r="A415" s="1"/>
      <c r="B415" s="19"/>
      <c r="C415" s="20"/>
      <c r="D415" s="21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8" x14ac:dyDescent="0.35">
      <c r="A416" s="1"/>
      <c r="B416" s="19"/>
      <c r="C416" s="20"/>
      <c r="D416" s="21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8" x14ac:dyDescent="0.35">
      <c r="A417" s="1"/>
      <c r="B417" s="19"/>
      <c r="C417" s="20"/>
      <c r="D417" s="21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8" x14ac:dyDescent="0.35">
      <c r="A418" s="1"/>
      <c r="B418" s="19"/>
      <c r="C418" s="20"/>
      <c r="D418" s="21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8" x14ac:dyDescent="0.35">
      <c r="A419" s="1"/>
      <c r="B419" s="19"/>
      <c r="C419" s="20"/>
      <c r="D419" s="21"/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8" x14ac:dyDescent="0.35">
      <c r="A420" s="1"/>
      <c r="B420" s="19"/>
      <c r="C420" s="20"/>
      <c r="D420" s="21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8" x14ac:dyDescent="0.35">
      <c r="A421" s="1"/>
      <c r="B421" s="19"/>
      <c r="C421" s="20"/>
      <c r="D421" s="21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8" x14ac:dyDescent="0.35">
      <c r="A422" s="1"/>
      <c r="B422" s="19"/>
      <c r="C422" s="20"/>
      <c r="D422" s="21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8" x14ac:dyDescent="0.35">
      <c r="A423" s="1"/>
      <c r="B423" s="19"/>
      <c r="C423" s="20"/>
      <c r="D423" s="21"/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8" x14ac:dyDescent="0.35">
      <c r="A424" s="1"/>
      <c r="B424" s="19"/>
      <c r="C424" s="20"/>
      <c r="D424" s="21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8" x14ac:dyDescent="0.35">
      <c r="A425" s="1"/>
      <c r="B425" s="19"/>
      <c r="C425" s="20"/>
      <c r="D425" s="21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8" x14ac:dyDescent="0.35">
      <c r="A426" s="1"/>
      <c r="B426" s="19"/>
      <c r="C426" s="20"/>
      <c r="D426" s="21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8" x14ac:dyDescent="0.35">
      <c r="A427" s="1"/>
      <c r="B427" s="19"/>
      <c r="C427" s="20"/>
      <c r="D427" s="21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8" x14ac:dyDescent="0.35">
      <c r="A428" s="1"/>
      <c r="B428" s="19"/>
      <c r="C428" s="20"/>
      <c r="D428" s="21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8" x14ac:dyDescent="0.35">
      <c r="A429" s="1"/>
      <c r="B429" s="19"/>
      <c r="C429" s="20"/>
      <c r="D429" s="21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8" x14ac:dyDescent="0.35">
      <c r="A430" s="1"/>
      <c r="B430" s="19"/>
      <c r="C430" s="20"/>
      <c r="D430" s="21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8" x14ac:dyDescent="0.35">
      <c r="A431" s="1"/>
      <c r="B431" s="19"/>
      <c r="C431" s="20"/>
      <c r="D431" s="21"/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8" x14ac:dyDescent="0.35">
      <c r="A432" s="1"/>
      <c r="B432" s="19"/>
      <c r="C432" s="20"/>
      <c r="D432" s="21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8" x14ac:dyDescent="0.35">
      <c r="A433" s="1"/>
      <c r="B433" s="19"/>
      <c r="C433" s="20"/>
      <c r="D433" s="21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8" x14ac:dyDescent="0.35">
      <c r="A434" s="1"/>
      <c r="B434" s="19"/>
      <c r="C434" s="20"/>
      <c r="D434" s="21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8" x14ac:dyDescent="0.35">
      <c r="A435" s="1"/>
      <c r="B435" s="19"/>
      <c r="C435" s="20"/>
      <c r="D435" s="21"/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8" x14ac:dyDescent="0.35">
      <c r="A436" s="1"/>
      <c r="B436" s="19"/>
      <c r="C436" s="20"/>
      <c r="D436" s="21"/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8" x14ac:dyDescent="0.35">
      <c r="A437" s="1"/>
      <c r="B437" s="19"/>
      <c r="C437" s="20"/>
      <c r="D437" s="21"/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8" x14ac:dyDescent="0.35">
      <c r="A438" s="1"/>
      <c r="B438" s="19"/>
      <c r="C438" s="20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8" x14ac:dyDescent="0.35">
      <c r="A439" s="1"/>
      <c r="B439" s="19"/>
      <c r="C439" s="20"/>
      <c r="D439" s="21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8" x14ac:dyDescent="0.35">
      <c r="A440" s="1"/>
      <c r="B440" s="19"/>
      <c r="C440" s="20"/>
      <c r="D440" s="21"/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8" x14ac:dyDescent="0.35">
      <c r="A441" s="1"/>
      <c r="B441" s="19"/>
      <c r="C441" s="20"/>
      <c r="D441" s="21"/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8" x14ac:dyDescent="0.35">
      <c r="A442" s="1"/>
      <c r="B442" s="19"/>
      <c r="C442" s="20"/>
      <c r="D442" s="21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8" x14ac:dyDescent="0.35">
      <c r="A443" s="1"/>
      <c r="B443" s="19"/>
      <c r="C443" s="20"/>
      <c r="D443" s="21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8" x14ac:dyDescent="0.35">
      <c r="A444" s="1"/>
      <c r="B444" s="19"/>
      <c r="C444" s="20"/>
      <c r="D444" s="21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8" x14ac:dyDescent="0.35">
      <c r="A445" s="1"/>
      <c r="B445" s="19"/>
      <c r="C445" s="20"/>
      <c r="D445" s="21"/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8" x14ac:dyDescent="0.35">
      <c r="A446" s="1"/>
      <c r="B446" s="19"/>
      <c r="C446" s="20"/>
      <c r="D446" s="21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8" x14ac:dyDescent="0.35">
      <c r="A447" s="1"/>
      <c r="B447" s="19"/>
      <c r="C447" s="20"/>
      <c r="D447" s="21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8" x14ac:dyDescent="0.35">
      <c r="A448" s="1"/>
      <c r="B448" s="19"/>
      <c r="C448" s="20"/>
      <c r="D448" s="21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8" x14ac:dyDescent="0.35">
      <c r="A449" s="1"/>
      <c r="B449" s="19"/>
      <c r="C449" s="20"/>
      <c r="D449" s="21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8" x14ac:dyDescent="0.35">
      <c r="A450" s="1"/>
      <c r="B450" s="19"/>
      <c r="C450" s="20"/>
      <c r="D450" s="21"/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8" x14ac:dyDescent="0.35">
      <c r="A451" s="1"/>
      <c r="B451" s="19"/>
      <c r="C451" s="20"/>
      <c r="D451" s="21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8" x14ac:dyDescent="0.35">
      <c r="A452" s="1"/>
      <c r="B452" s="19"/>
      <c r="C452" s="20"/>
      <c r="D452" s="21"/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8" x14ac:dyDescent="0.35">
      <c r="A453" s="1"/>
      <c r="B453" s="19"/>
      <c r="C453" s="20"/>
      <c r="D453" s="21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8" x14ac:dyDescent="0.35">
      <c r="A454" s="1"/>
      <c r="B454" s="19"/>
      <c r="C454" s="20"/>
      <c r="D454" s="21"/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8" x14ac:dyDescent="0.35">
      <c r="A455" s="1"/>
      <c r="B455" s="19"/>
      <c r="C455" s="20"/>
      <c r="D455" s="21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8" x14ac:dyDescent="0.35">
      <c r="A456" s="1"/>
      <c r="B456" s="19"/>
      <c r="C456" s="20"/>
      <c r="D456" s="21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8" x14ac:dyDescent="0.35">
      <c r="A457" s="1"/>
      <c r="B457" s="19"/>
      <c r="C457" s="20"/>
      <c r="D457" s="21"/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8" x14ac:dyDescent="0.35">
      <c r="A458" s="1"/>
      <c r="B458" s="19"/>
      <c r="C458" s="20"/>
      <c r="D458" s="21"/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8" x14ac:dyDescent="0.35">
      <c r="A459" s="1"/>
      <c r="B459" s="19"/>
      <c r="C459" s="20"/>
      <c r="D459" s="21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8" x14ac:dyDescent="0.35">
      <c r="A460" s="1"/>
      <c r="B460" s="19"/>
      <c r="C460" s="20"/>
      <c r="D460" s="21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8" x14ac:dyDescent="0.35">
      <c r="A461" s="1"/>
      <c r="B461" s="19"/>
      <c r="C461" s="20"/>
      <c r="D461" s="21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8" x14ac:dyDescent="0.35">
      <c r="A462" s="1"/>
      <c r="B462" s="19"/>
      <c r="C462" s="20"/>
      <c r="D462" s="21"/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8" x14ac:dyDescent="0.35">
      <c r="A463" s="1"/>
      <c r="B463" s="19"/>
      <c r="C463" s="20"/>
      <c r="D463" s="21"/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8" x14ac:dyDescent="0.35">
      <c r="A464" s="1"/>
      <c r="B464" s="19"/>
      <c r="C464" s="20"/>
      <c r="D464" s="21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8" x14ac:dyDescent="0.35">
      <c r="A465" s="1"/>
      <c r="B465" s="19"/>
      <c r="C465" s="20"/>
      <c r="D465" s="21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8" x14ac:dyDescent="0.35">
      <c r="A466" s="1"/>
      <c r="B466" s="19"/>
      <c r="C466" s="20"/>
      <c r="D466" s="21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8" x14ac:dyDescent="0.35">
      <c r="A467" s="1"/>
      <c r="B467" s="19"/>
      <c r="C467" s="20"/>
      <c r="D467" s="21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8" x14ac:dyDescent="0.35">
      <c r="A468" s="1"/>
      <c r="B468" s="19"/>
      <c r="C468" s="20"/>
      <c r="D468" s="21"/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8" x14ac:dyDescent="0.35">
      <c r="A469" s="1"/>
      <c r="B469" s="19"/>
      <c r="C469" s="20"/>
      <c r="D469" s="21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8" x14ac:dyDescent="0.35">
      <c r="A470" s="1"/>
      <c r="B470" s="19"/>
      <c r="C470" s="20"/>
      <c r="D470" s="21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8" x14ac:dyDescent="0.35">
      <c r="A471" s="1"/>
      <c r="B471" s="19"/>
      <c r="C471" s="20"/>
      <c r="D471" s="21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8" x14ac:dyDescent="0.35">
      <c r="A472" s="1"/>
      <c r="B472" s="19"/>
      <c r="C472" s="20"/>
      <c r="D472" s="21"/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8" x14ac:dyDescent="0.35">
      <c r="A473" s="1"/>
      <c r="B473" s="19"/>
      <c r="C473" s="20"/>
      <c r="D473" s="21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8" x14ac:dyDescent="0.35">
      <c r="A474" s="1"/>
      <c r="B474" s="19"/>
      <c r="C474" s="20"/>
      <c r="D474" s="21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8" x14ac:dyDescent="0.35">
      <c r="A475" s="1"/>
      <c r="B475" s="19"/>
      <c r="C475" s="20"/>
      <c r="D475" s="21"/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8" x14ac:dyDescent="0.35">
      <c r="A476" s="1"/>
      <c r="B476" s="19"/>
      <c r="C476" s="20"/>
      <c r="D476" s="21"/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8" x14ac:dyDescent="0.35">
      <c r="A477" s="1"/>
      <c r="B477" s="19"/>
      <c r="C477" s="20"/>
      <c r="D477" s="21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8" x14ac:dyDescent="0.35">
      <c r="A478" s="1"/>
      <c r="B478" s="19"/>
      <c r="C478" s="20"/>
      <c r="D478" s="21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8" x14ac:dyDescent="0.35">
      <c r="A479" s="1"/>
      <c r="B479" s="19"/>
      <c r="C479" s="20"/>
      <c r="D479" s="21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8" x14ac:dyDescent="0.35">
      <c r="A480" s="1"/>
      <c r="B480" s="19"/>
      <c r="C480" s="20"/>
      <c r="D480" s="21"/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8" x14ac:dyDescent="0.35">
      <c r="A481" s="1"/>
      <c r="B481" s="19"/>
      <c r="C481" s="20"/>
      <c r="D481" s="21"/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8" x14ac:dyDescent="0.35">
      <c r="A482" s="1"/>
      <c r="B482" s="19"/>
      <c r="C482" s="20"/>
      <c r="D482" s="21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8" x14ac:dyDescent="0.35">
      <c r="A483" s="1"/>
      <c r="B483" s="19"/>
      <c r="C483" s="20"/>
      <c r="D483" s="21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8" x14ac:dyDescent="0.35">
      <c r="A484" s="1"/>
      <c r="B484" s="19"/>
      <c r="C484" s="20"/>
      <c r="D484" s="21"/>
      <c r="E484" s="21"/>
      <c r="F484" s="22"/>
      <c r="G484" s="22"/>
      <c r="H484" s="22"/>
      <c r="I484" s="22"/>
      <c r="J484" s="22"/>
      <c r="K484" s="22"/>
      <c r="L484" s="22"/>
      <c r="M484" s="22"/>
      <c r="N484" s="2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8" x14ac:dyDescent="0.35">
      <c r="A485" s="1"/>
      <c r="B485" s="19"/>
      <c r="C485" s="20"/>
      <c r="D485" s="21"/>
      <c r="E485" s="21"/>
      <c r="F485" s="22"/>
      <c r="G485" s="22"/>
      <c r="H485" s="22"/>
      <c r="I485" s="22"/>
      <c r="J485" s="22"/>
      <c r="K485" s="22"/>
      <c r="L485" s="22"/>
      <c r="M485" s="22"/>
      <c r="N485" s="2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8" x14ac:dyDescent="0.35">
      <c r="A486" s="1"/>
      <c r="B486" s="19"/>
      <c r="C486" s="20"/>
      <c r="D486" s="21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8" x14ac:dyDescent="0.35">
      <c r="A487" s="1"/>
      <c r="B487" s="19"/>
      <c r="C487" s="20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8" x14ac:dyDescent="0.35">
      <c r="A488" s="1"/>
      <c r="B488" s="19"/>
      <c r="C488" s="20"/>
      <c r="D488" s="21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8" x14ac:dyDescent="0.35">
      <c r="A489" s="1"/>
      <c r="B489" s="19"/>
      <c r="C489" s="20"/>
      <c r="D489" s="21"/>
      <c r="E489" s="21"/>
      <c r="F489" s="22"/>
      <c r="G489" s="22"/>
      <c r="H489" s="22"/>
      <c r="I489" s="22"/>
      <c r="J489" s="22"/>
      <c r="K489" s="22"/>
      <c r="L489" s="22"/>
      <c r="M489" s="22"/>
      <c r="N489" s="2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8" x14ac:dyDescent="0.35">
      <c r="A490" s="1"/>
      <c r="B490" s="19"/>
      <c r="C490" s="20"/>
      <c r="D490" s="21"/>
      <c r="E490" s="21"/>
      <c r="F490" s="22"/>
      <c r="G490" s="22"/>
      <c r="H490" s="22"/>
      <c r="I490" s="22"/>
      <c r="J490" s="22"/>
      <c r="K490" s="22"/>
      <c r="L490" s="22"/>
      <c r="M490" s="22"/>
      <c r="N490" s="2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8" x14ac:dyDescent="0.35">
      <c r="A491" s="1"/>
      <c r="B491" s="19"/>
      <c r="C491" s="20"/>
      <c r="D491" s="21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8" x14ac:dyDescent="0.35">
      <c r="A492" s="1"/>
      <c r="B492" s="19"/>
      <c r="C492" s="20"/>
      <c r="D492" s="21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8" x14ac:dyDescent="0.35">
      <c r="A493" s="1"/>
      <c r="B493" s="19"/>
      <c r="C493" s="20"/>
      <c r="D493" s="21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8" x14ac:dyDescent="0.35">
      <c r="A494" s="1"/>
      <c r="B494" s="19"/>
      <c r="C494" s="20"/>
      <c r="D494" s="21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8" x14ac:dyDescent="0.35">
      <c r="A495" s="1"/>
      <c r="B495" s="19"/>
      <c r="C495" s="20"/>
      <c r="D495" s="21"/>
      <c r="E495" s="21"/>
      <c r="F495" s="22"/>
      <c r="G495" s="22"/>
      <c r="H495" s="22"/>
      <c r="I495" s="22"/>
      <c r="J495" s="22"/>
      <c r="K495" s="22"/>
      <c r="L495" s="22"/>
      <c r="M495" s="22"/>
      <c r="N495" s="2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8" x14ac:dyDescent="0.35">
      <c r="A496" s="1"/>
      <c r="B496" s="19"/>
      <c r="C496" s="20"/>
      <c r="D496" s="21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8" x14ac:dyDescent="0.35">
      <c r="A497" s="1"/>
      <c r="B497" s="19"/>
      <c r="C497" s="20"/>
      <c r="D497" s="21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8" x14ac:dyDescent="0.35">
      <c r="A498" s="1"/>
      <c r="B498" s="19"/>
      <c r="C498" s="20"/>
      <c r="D498" s="21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8" x14ac:dyDescent="0.35">
      <c r="A499" s="1"/>
      <c r="B499" s="19"/>
      <c r="C499" s="20"/>
      <c r="D499" s="21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8" x14ac:dyDescent="0.35">
      <c r="A500" s="1"/>
      <c r="B500" s="19"/>
      <c r="C500" s="20"/>
      <c r="D500" s="21"/>
      <c r="E500" s="21"/>
      <c r="F500" s="22"/>
      <c r="G500" s="22"/>
      <c r="H500" s="22"/>
      <c r="I500" s="22"/>
      <c r="J500" s="22"/>
      <c r="K500" s="22"/>
      <c r="L500" s="22"/>
      <c r="M500" s="22"/>
      <c r="N500" s="2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8" x14ac:dyDescent="0.35">
      <c r="A501" s="1"/>
      <c r="B501" s="19"/>
      <c r="C501" s="20"/>
      <c r="D501" s="21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8" x14ac:dyDescent="0.35">
      <c r="A502" s="1"/>
      <c r="B502" s="19"/>
      <c r="C502" s="20"/>
      <c r="D502" s="21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8" x14ac:dyDescent="0.35">
      <c r="A503" s="1"/>
      <c r="B503" s="19"/>
      <c r="C503" s="20"/>
      <c r="D503" s="21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8" x14ac:dyDescent="0.35">
      <c r="A504" s="1"/>
      <c r="B504" s="19"/>
      <c r="C504" s="20"/>
      <c r="D504" s="21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8" x14ac:dyDescent="0.35">
      <c r="A505" s="1"/>
      <c r="B505" s="19"/>
      <c r="C505" s="20"/>
      <c r="D505" s="21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8" x14ac:dyDescent="0.35">
      <c r="A506" s="1"/>
      <c r="B506" s="19"/>
      <c r="C506" s="20"/>
      <c r="D506" s="21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8" x14ac:dyDescent="0.35">
      <c r="A507" s="1"/>
      <c r="B507" s="19"/>
      <c r="C507" s="20"/>
      <c r="D507" s="21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8" x14ac:dyDescent="0.35">
      <c r="A508" s="1"/>
      <c r="B508" s="19"/>
      <c r="C508" s="20"/>
      <c r="D508" s="21"/>
      <c r="E508" s="21"/>
      <c r="F508" s="22"/>
      <c r="G508" s="22"/>
      <c r="H508" s="22"/>
      <c r="I508" s="22"/>
      <c r="J508" s="22"/>
      <c r="K508" s="22"/>
      <c r="L508" s="22"/>
      <c r="M508" s="22"/>
      <c r="N508" s="2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8" x14ac:dyDescent="0.35">
      <c r="A509" s="1"/>
      <c r="B509" s="19"/>
      <c r="C509" s="20"/>
      <c r="D509" s="21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8" x14ac:dyDescent="0.35">
      <c r="A510" s="1"/>
      <c r="B510" s="19"/>
      <c r="C510" s="20"/>
      <c r="D510" s="21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8" x14ac:dyDescent="0.35">
      <c r="A511" s="1"/>
      <c r="B511" s="19"/>
      <c r="C511" s="20"/>
      <c r="D511" s="21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8" x14ac:dyDescent="0.35">
      <c r="A512" s="1"/>
      <c r="B512" s="19"/>
      <c r="C512" s="20"/>
      <c r="D512" s="21"/>
      <c r="E512" s="21"/>
      <c r="F512" s="22"/>
      <c r="G512" s="22"/>
      <c r="H512" s="22"/>
      <c r="I512" s="22"/>
      <c r="J512" s="22"/>
      <c r="K512" s="22"/>
      <c r="L512" s="22"/>
      <c r="M512" s="22"/>
      <c r="N512" s="2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8" x14ac:dyDescent="0.35">
      <c r="A513" s="1"/>
      <c r="B513" s="19"/>
      <c r="C513" s="20"/>
      <c r="D513" s="21"/>
      <c r="E513" s="21"/>
      <c r="F513" s="22"/>
      <c r="G513" s="22"/>
      <c r="H513" s="22"/>
      <c r="I513" s="22"/>
      <c r="J513" s="22"/>
      <c r="K513" s="22"/>
      <c r="L513" s="22"/>
      <c r="M513" s="22"/>
      <c r="N513" s="2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8" x14ac:dyDescent="0.35">
      <c r="A514" s="1"/>
      <c r="B514" s="19"/>
      <c r="C514" s="20"/>
      <c r="D514" s="21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8" x14ac:dyDescent="0.35">
      <c r="A515" s="1"/>
      <c r="B515" s="19"/>
      <c r="C515" s="20"/>
      <c r="D515" s="21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8" x14ac:dyDescent="0.35">
      <c r="A516" s="1"/>
      <c r="B516" s="19"/>
      <c r="C516" s="20"/>
      <c r="D516" s="21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8" x14ac:dyDescent="0.35">
      <c r="A517" s="1"/>
      <c r="B517" s="19"/>
      <c r="C517" s="20"/>
      <c r="D517" s="21"/>
      <c r="E517" s="21"/>
      <c r="F517" s="22"/>
      <c r="G517" s="22"/>
      <c r="H517" s="22"/>
      <c r="I517" s="22"/>
      <c r="J517" s="22"/>
      <c r="K517" s="22"/>
      <c r="L517" s="22"/>
      <c r="M517" s="22"/>
      <c r="N517" s="2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8" x14ac:dyDescent="0.35">
      <c r="A518" s="1"/>
      <c r="B518" s="19"/>
      <c r="C518" s="20"/>
      <c r="D518" s="21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8" x14ac:dyDescent="0.35">
      <c r="A519" s="1"/>
      <c r="B519" s="19"/>
      <c r="C519" s="20"/>
      <c r="D519" s="21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8" x14ac:dyDescent="0.35">
      <c r="A520" s="1"/>
      <c r="B520" s="19"/>
      <c r="C520" s="20"/>
      <c r="D520" s="21"/>
      <c r="E520" s="21"/>
      <c r="F520" s="22"/>
      <c r="G520" s="22"/>
      <c r="H520" s="22"/>
      <c r="I520" s="22"/>
      <c r="J520" s="22"/>
      <c r="K520" s="22"/>
      <c r="L520" s="22"/>
      <c r="M520" s="22"/>
      <c r="N520" s="2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8" x14ac:dyDescent="0.35">
      <c r="A521" s="1"/>
      <c r="B521" s="19"/>
      <c r="C521" s="20"/>
      <c r="D521" s="21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8" x14ac:dyDescent="0.35">
      <c r="A522" s="1"/>
      <c r="B522" s="19"/>
      <c r="C522" s="20"/>
      <c r="D522" s="21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8" x14ac:dyDescent="0.35">
      <c r="A523" s="1"/>
      <c r="B523" s="19"/>
      <c r="C523" s="20"/>
      <c r="D523" s="21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8" x14ac:dyDescent="0.35">
      <c r="A524" s="1"/>
      <c r="B524" s="19"/>
      <c r="C524" s="20"/>
      <c r="D524" s="21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8" x14ac:dyDescent="0.35">
      <c r="A525" s="1"/>
      <c r="B525" s="19"/>
      <c r="C525" s="20"/>
      <c r="D525" s="21"/>
      <c r="E525" s="21"/>
      <c r="F525" s="22"/>
      <c r="G525" s="22"/>
      <c r="H525" s="22"/>
      <c r="I525" s="22"/>
      <c r="J525" s="22"/>
      <c r="K525" s="22"/>
      <c r="L525" s="22"/>
      <c r="M525" s="22"/>
      <c r="N525" s="2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8" x14ac:dyDescent="0.35">
      <c r="A526" s="1"/>
      <c r="B526" s="19"/>
      <c r="C526" s="20"/>
      <c r="D526" s="21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8" x14ac:dyDescent="0.35">
      <c r="A527" s="1"/>
      <c r="B527" s="19"/>
      <c r="C527" s="20"/>
      <c r="D527" s="21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8" x14ac:dyDescent="0.35">
      <c r="A528" s="1"/>
      <c r="B528" s="19"/>
      <c r="C528" s="20"/>
      <c r="D528" s="21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8" x14ac:dyDescent="0.35">
      <c r="A529" s="1"/>
      <c r="B529" s="19"/>
      <c r="C529" s="20"/>
      <c r="D529" s="21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8" x14ac:dyDescent="0.35">
      <c r="A530" s="1"/>
      <c r="B530" s="19"/>
      <c r="C530" s="20"/>
      <c r="D530" s="21"/>
      <c r="E530" s="21"/>
      <c r="F530" s="22"/>
      <c r="G530" s="22"/>
      <c r="H530" s="22"/>
      <c r="I530" s="22"/>
      <c r="J530" s="22"/>
      <c r="K530" s="22"/>
      <c r="L530" s="22"/>
      <c r="M530" s="22"/>
      <c r="N530" s="2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8" x14ac:dyDescent="0.35">
      <c r="A531" s="1"/>
      <c r="B531" s="19"/>
      <c r="C531" s="20"/>
      <c r="D531" s="21"/>
      <c r="E531" s="21"/>
      <c r="F531" s="22"/>
      <c r="G531" s="22"/>
      <c r="H531" s="22"/>
      <c r="I531" s="22"/>
      <c r="J531" s="22"/>
      <c r="K531" s="22"/>
      <c r="L531" s="22"/>
      <c r="M531" s="22"/>
      <c r="N531" s="2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8" x14ac:dyDescent="0.35">
      <c r="A532" s="1"/>
      <c r="B532" s="19"/>
      <c r="C532" s="20"/>
      <c r="D532" s="21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8" x14ac:dyDescent="0.35">
      <c r="A533" s="1"/>
      <c r="B533" s="19"/>
      <c r="C533" s="20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8" x14ac:dyDescent="0.35">
      <c r="A534" s="1"/>
      <c r="B534" s="19"/>
      <c r="C534" s="20"/>
      <c r="D534" s="21"/>
      <c r="E534" s="21"/>
      <c r="F534" s="22"/>
      <c r="G534" s="22"/>
      <c r="H534" s="22"/>
      <c r="I534" s="22"/>
      <c r="J534" s="22"/>
      <c r="K534" s="22"/>
      <c r="L534" s="22"/>
      <c r="M534" s="22"/>
      <c r="N534" s="2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8" x14ac:dyDescent="0.35">
      <c r="A535" s="1"/>
      <c r="B535" s="19"/>
      <c r="C535" s="20"/>
      <c r="D535" s="21"/>
      <c r="E535" s="21"/>
      <c r="F535" s="22"/>
      <c r="G535" s="22"/>
      <c r="H535" s="22"/>
      <c r="I535" s="22"/>
      <c r="J535" s="22"/>
      <c r="K535" s="22"/>
      <c r="L535" s="22"/>
      <c r="M535" s="22"/>
      <c r="N535" s="2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8" x14ac:dyDescent="0.35">
      <c r="A536" s="1"/>
      <c r="B536" s="19"/>
      <c r="C536" s="20"/>
      <c r="D536" s="21"/>
      <c r="E536" s="21"/>
      <c r="F536" s="22"/>
      <c r="G536" s="22"/>
      <c r="H536" s="22"/>
      <c r="I536" s="22"/>
      <c r="J536" s="22"/>
      <c r="K536" s="22"/>
      <c r="L536" s="22"/>
      <c r="M536" s="22"/>
      <c r="N536" s="2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8" x14ac:dyDescent="0.35">
      <c r="A537" s="1"/>
      <c r="B537" s="19"/>
      <c r="C537" s="20"/>
      <c r="D537" s="21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8" x14ac:dyDescent="0.35">
      <c r="A538" s="1"/>
      <c r="B538" s="19"/>
      <c r="C538" s="20"/>
      <c r="D538" s="21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8" x14ac:dyDescent="0.35">
      <c r="A539" s="1"/>
      <c r="B539" s="19"/>
      <c r="C539" s="20"/>
      <c r="D539" s="21"/>
      <c r="E539" s="21"/>
      <c r="F539" s="22"/>
      <c r="G539" s="22"/>
      <c r="H539" s="22"/>
      <c r="I539" s="22"/>
      <c r="J539" s="22"/>
      <c r="K539" s="22"/>
      <c r="L539" s="22"/>
      <c r="M539" s="22"/>
      <c r="N539" s="2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8" x14ac:dyDescent="0.35">
      <c r="A540" s="1"/>
      <c r="B540" s="19"/>
      <c r="C540" s="20"/>
      <c r="D540" s="21"/>
      <c r="E540" s="21"/>
      <c r="F540" s="22"/>
      <c r="G540" s="22"/>
      <c r="H540" s="22"/>
      <c r="I540" s="22"/>
      <c r="J540" s="22"/>
      <c r="K540" s="22"/>
      <c r="L540" s="22"/>
      <c r="M540" s="22"/>
      <c r="N540" s="2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8" x14ac:dyDescent="0.35">
      <c r="A541" s="1"/>
      <c r="B541" s="19"/>
      <c r="C541" s="20"/>
      <c r="D541" s="21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8" x14ac:dyDescent="0.35">
      <c r="A542" s="1"/>
      <c r="B542" s="19"/>
      <c r="C542" s="20"/>
      <c r="D542" s="21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8" x14ac:dyDescent="0.35">
      <c r="A543" s="1"/>
      <c r="B543" s="19"/>
      <c r="C543" s="20"/>
      <c r="D543" s="21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8" x14ac:dyDescent="0.35">
      <c r="A544" s="1"/>
      <c r="B544" s="19"/>
      <c r="C544" s="20"/>
      <c r="D544" s="21"/>
      <c r="E544" s="21"/>
      <c r="F544" s="22"/>
      <c r="G544" s="22"/>
      <c r="H544" s="22"/>
      <c r="I544" s="22"/>
      <c r="J544" s="22"/>
      <c r="K544" s="22"/>
      <c r="L544" s="22"/>
      <c r="M544" s="22"/>
      <c r="N544" s="2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8" x14ac:dyDescent="0.35">
      <c r="A545" s="1"/>
      <c r="B545" s="19"/>
      <c r="C545" s="20"/>
      <c r="D545" s="21"/>
      <c r="E545" s="21"/>
      <c r="F545" s="22"/>
      <c r="G545" s="22"/>
      <c r="H545" s="22"/>
      <c r="I545" s="22"/>
      <c r="J545" s="22"/>
      <c r="K545" s="22"/>
      <c r="L545" s="22"/>
      <c r="M545" s="22"/>
      <c r="N545" s="2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8" x14ac:dyDescent="0.35">
      <c r="A546" s="1"/>
      <c r="B546" s="19"/>
      <c r="C546" s="20"/>
      <c r="D546" s="21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8" x14ac:dyDescent="0.35">
      <c r="A547" s="1"/>
      <c r="B547" s="19"/>
      <c r="C547" s="20"/>
      <c r="D547" s="21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8" x14ac:dyDescent="0.35">
      <c r="A548" s="1"/>
      <c r="B548" s="19"/>
      <c r="C548" s="20"/>
      <c r="D548" s="21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8" x14ac:dyDescent="0.35">
      <c r="A549" s="1"/>
      <c r="B549" s="19"/>
      <c r="C549" s="20"/>
      <c r="D549" s="21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8" x14ac:dyDescent="0.35">
      <c r="A550" s="1"/>
      <c r="B550" s="19"/>
      <c r="C550" s="20"/>
      <c r="D550" s="21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8" x14ac:dyDescent="0.35">
      <c r="A551" s="1"/>
      <c r="B551" s="19"/>
      <c r="C551" s="20"/>
      <c r="D551" s="21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8" x14ac:dyDescent="0.35">
      <c r="A552" s="1"/>
      <c r="B552" s="19"/>
      <c r="C552" s="20"/>
      <c r="D552" s="21"/>
      <c r="E552" s="21"/>
      <c r="F552" s="22"/>
      <c r="G552" s="22"/>
      <c r="H552" s="22"/>
      <c r="I552" s="22"/>
      <c r="J552" s="22"/>
      <c r="K552" s="22"/>
      <c r="L552" s="22"/>
      <c r="M552" s="22"/>
      <c r="N552" s="2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8" x14ac:dyDescent="0.35">
      <c r="A553" s="1"/>
      <c r="B553" s="19"/>
      <c r="C553" s="20"/>
      <c r="D553" s="21"/>
      <c r="E553" s="21"/>
      <c r="F553" s="22"/>
      <c r="G553" s="22"/>
      <c r="H553" s="22"/>
      <c r="I553" s="22"/>
      <c r="J553" s="22"/>
      <c r="K553" s="22"/>
      <c r="L553" s="22"/>
      <c r="M553" s="22"/>
      <c r="N553" s="2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8" x14ac:dyDescent="0.35">
      <c r="A554" s="1"/>
      <c r="B554" s="19"/>
      <c r="C554" s="20"/>
      <c r="D554" s="21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8" x14ac:dyDescent="0.35">
      <c r="A555" s="1"/>
      <c r="B555" s="19"/>
      <c r="C555" s="20"/>
      <c r="D555" s="21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8" x14ac:dyDescent="0.35">
      <c r="A556" s="1"/>
      <c r="B556" s="19"/>
      <c r="C556" s="20"/>
      <c r="D556" s="21"/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8" x14ac:dyDescent="0.35">
      <c r="A557" s="1"/>
      <c r="B557" s="19"/>
      <c r="C557" s="20"/>
      <c r="D557" s="21"/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8" x14ac:dyDescent="0.35">
      <c r="A558" s="1"/>
      <c r="B558" s="19"/>
      <c r="C558" s="20"/>
      <c r="D558" s="21"/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8" x14ac:dyDescent="0.35">
      <c r="A559" s="1"/>
      <c r="B559" s="19"/>
      <c r="C559" s="20"/>
      <c r="D559" s="21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8" x14ac:dyDescent="0.35">
      <c r="A560" s="1"/>
      <c r="B560" s="19"/>
      <c r="C560" s="20"/>
      <c r="D560" s="21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8" x14ac:dyDescent="0.35">
      <c r="A561" s="1"/>
      <c r="B561" s="19"/>
      <c r="C561" s="20"/>
      <c r="D561" s="21"/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8" x14ac:dyDescent="0.35">
      <c r="A562" s="1"/>
      <c r="B562" s="19"/>
      <c r="C562" s="20"/>
      <c r="D562" s="21"/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8" x14ac:dyDescent="0.35">
      <c r="A563" s="1"/>
      <c r="B563" s="19"/>
      <c r="C563" s="20"/>
      <c r="D563" s="21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8" x14ac:dyDescent="0.35">
      <c r="A564" s="1"/>
      <c r="B564" s="19"/>
      <c r="C564" s="20"/>
      <c r="D564" s="21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8" x14ac:dyDescent="0.35">
      <c r="A565" s="1"/>
      <c r="B565" s="19"/>
      <c r="C565" s="20"/>
      <c r="D565" s="21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8" x14ac:dyDescent="0.35">
      <c r="A566" s="1"/>
      <c r="B566" s="19"/>
      <c r="C566" s="20"/>
      <c r="D566" s="21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8" x14ac:dyDescent="0.35">
      <c r="A567" s="1"/>
      <c r="B567" s="19"/>
      <c r="C567" s="20"/>
      <c r="D567" s="21"/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8" x14ac:dyDescent="0.35">
      <c r="A568" s="1"/>
      <c r="B568" s="19"/>
      <c r="C568" s="20"/>
      <c r="D568" s="21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8" x14ac:dyDescent="0.35">
      <c r="A569" s="1"/>
      <c r="B569" s="19"/>
      <c r="C569" s="20"/>
      <c r="D569" s="21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8" x14ac:dyDescent="0.35">
      <c r="A570" s="1"/>
      <c r="B570" s="19"/>
      <c r="C570" s="20"/>
      <c r="D570" s="21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8" x14ac:dyDescent="0.35">
      <c r="A571" s="1"/>
      <c r="B571" s="19"/>
      <c r="C571" s="20"/>
      <c r="D571" s="21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8" x14ac:dyDescent="0.35">
      <c r="A572" s="1"/>
      <c r="B572" s="19"/>
      <c r="C572" s="20"/>
      <c r="D572" s="21"/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8" x14ac:dyDescent="0.35">
      <c r="A573" s="1"/>
      <c r="B573" s="19"/>
      <c r="C573" s="20"/>
      <c r="D573" s="21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8" x14ac:dyDescent="0.35">
      <c r="A574" s="1"/>
      <c r="B574" s="19"/>
      <c r="C574" s="20"/>
      <c r="D574" s="21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8" x14ac:dyDescent="0.35">
      <c r="A575" s="1"/>
      <c r="B575" s="19"/>
      <c r="C575" s="20"/>
      <c r="D575" s="21"/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8" x14ac:dyDescent="0.35">
      <c r="A576" s="1"/>
      <c r="B576" s="19"/>
      <c r="C576" s="20"/>
      <c r="D576" s="21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8" x14ac:dyDescent="0.35">
      <c r="A577" s="1"/>
      <c r="B577" s="19"/>
      <c r="C577" s="20"/>
      <c r="D577" s="21"/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8" x14ac:dyDescent="0.35">
      <c r="A578" s="1"/>
      <c r="B578" s="19"/>
      <c r="C578" s="20"/>
      <c r="D578" s="21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8" x14ac:dyDescent="0.35">
      <c r="A579" s="1"/>
      <c r="B579" s="19"/>
      <c r="C579" s="20"/>
      <c r="D579" s="21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8" x14ac:dyDescent="0.35">
      <c r="A580" s="1"/>
      <c r="B580" s="19"/>
      <c r="C580" s="20"/>
      <c r="D580" s="21"/>
      <c r="E580" s="21"/>
      <c r="F580" s="22"/>
      <c r="G580" s="22"/>
      <c r="H580" s="22"/>
      <c r="I580" s="22"/>
      <c r="J580" s="22"/>
      <c r="K580" s="22"/>
      <c r="L580" s="22"/>
      <c r="M580" s="22"/>
      <c r="N580" s="2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8" x14ac:dyDescent="0.35">
      <c r="A581" s="1"/>
      <c r="B581" s="19"/>
      <c r="C581" s="20"/>
      <c r="D581" s="21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8" x14ac:dyDescent="0.35">
      <c r="A582" s="1"/>
      <c r="B582" s="19"/>
      <c r="C582" s="20"/>
      <c r="D582" s="21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8" x14ac:dyDescent="0.35">
      <c r="A583" s="1"/>
      <c r="B583" s="19"/>
      <c r="C583" s="20"/>
      <c r="D583" s="21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8" x14ac:dyDescent="0.35">
      <c r="A584" s="1"/>
      <c r="B584" s="19"/>
      <c r="C584" s="20"/>
      <c r="D584" s="21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8" x14ac:dyDescent="0.35">
      <c r="A585" s="1"/>
      <c r="B585" s="19"/>
      <c r="C585" s="20"/>
      <c r="D585" s="21"/>
      <c r="E585" s="21"/>
      <c r="F585" s="22"/>
      <c r="G585" s="22"/>
      <c r="H585" s="22"/>
      <c r="I585" s="22"/>
      <c r="J585" s="22"/>
      <c r="K585" s="22"/>
      <c r="L585" s="22"/>
      <c r="M585" s="22"/>
      <c r="N585" s="2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8" x14ac:dyDescent="0.35">
      <c r="A586" s="1"/>
      <c r="B586" s="19"/>
      <c r="C586" s="20"/>
      <c r="D586" s="21"/>
      <c r="E586" s="21"/>
      <c r="F586" s="22"/>
      <c r="G586" s="22"/>
      <c r="H586" s="22"/>
      <c r="I586" s="22"/>
      <c r="J586" s="22"/>
      <c r="K586" s="22"/>
      <c r="L586" s="22"/>
      <c r="M586" s="22"/>
      <c r="N586" s="2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8" x14ac:dyDescent="0.35">
      <c r="A587" s="1"/>
      <c r="B587" s="19"/>
      <c r="C587" s="20"/>
      <c r="D587" s="21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8" x14ac:dyDescent="0.35">
      <c r="A588" s="1"/>
      <c r="B588" s="19"/>
      <c r="C588" s="20"/>
      <c r="D588" s="21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8" x14ac:dyDescent="0.35">
      <c r="A589" s="1"/>
      <c r="B589" s="19"/>
      <c r="C589" s="20"/>
      <c r="D589" s="21"/>
      <c r="E589" s="21"/>
      <c r="F589" s="22"/>
      <c r="G589" s="22"/>
      <c r="H589" s="22"/>
      <c r="I589" s="22"/>
      <c r="J589" s="22"/>
      <c r="K589" s="22"/>
      <c r="L589" s="22"/>
      <c r="M589" s="22"/>
      <c r="N589" s="2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8" x14ac:dyDescent="0.35">
      <c r="A590" s="1"/>
      <c r="B590" s="19"/>
      <c r="C590" s="20"/>
      <c r="D590" s="21"/>
      <c r="E590" s="21"/>
      <c r="F590" s="22"/>
      <c r="G590" s="22"/>
      <c r="H590" s="22"/>
      <c r="I590" s="22"/>
      <c r="J590" s="22"/>
      <c r="K590" s="22"/>
      <c r="L590" s="22"/>
      <c r="M590" s="22"/>
      <c r="N590" s="2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8" x14ac:dyDescent="0.35">
      <c r="A591" s="1"/>
      <c r="B591" s="19"/>
      <c r="C591" s="20"/>
      <c r="D591" s="21"/>
      <c r="E591" s="21"/>
      <c r="F591" s="22"/>
      <c r="G591" s="22"/>
      <c r="H591" s="22"/>
      <c r="I591" s="22"/>
      <c r="J591" s="22"/>
      <c r="K591" s="22"/>
      <c r="L591" s="22"/>
      <c r="M591" s="22"/>
      <c r="N591" s="2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8" x14ac:dyDescent="0.35">
      <c r="A592" s="1"/>
      <c r="B592" s="19"/>
      <c r="C592" s="20"/>
      <c r="D592" s="21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8" x14ac:dyDescent="0.35">
      <c r="A593" s="1"/>
      <c r="B593" s="19"/>
      <c r="C593" s="20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8" x14ac:dyDescent="0.35">
      <c r="A594" s="1"/>
      <c r="B594" s="19"/>
      <c r="C594" s="20"/>
      <c r="D594" s="21"/>
      <c r="E594" s="21"/>
      <c r="F594" s="22"/>
      <c r="G594" s="22"/>
      <c r="H594" s="22"/>
      <c r="I594" s="22"/>
      <c r="J594" s="22"/>
      <c r="K594" s="22"/>
      <c r="L594" s="22"/>
      <c r="M594" s="22"/>
      <c r="N594" s="2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8" x14ac:dyDescent="0.35">
      <c r="A595" s="1"/>
      <c r="B595" s="19"/>
      <c r="C595" s="20"/>
      <c r="D595" s="21"/>
      <c r="E595" s="21"/>
      <c r="F595" s="22"/>
      <c r="G595" s="22"/>
      <c r="H595" s="22"/>
      <c r="I595" s="22"/>
      <c r="J595" s="22"/>
      <c r="K595" s="22"/>
      <c r="L595" s="22"/>
      <c r="M595" s="22"/>
      <c r="N595" s="2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8" x14ac:dyDescent="0.35">
      <c r="A596" s="1"/>
      <c r="B596" s="19"/>
      <c r="C596" s="20"/>
      <c r="D596" s="21"/>
      <c r="E596" s="21"/>
      <c r="F596" s="22"/>
      <c r="G596" s="22"/>
      <c r="H596" s="22"/>
      <c r="I596" s="22"/>
      <c r="J596" s="22"/>
      <c r="K596" s="22"/>
      <c r="L596" s="22"/>
      <c r="M596" s="22"/>
      <c r="N596" s="2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8" x14ac:dyDescent="0.35">
      <c r="A597" s="1"/>
      <c r="B597" s="19"/>
      <c r="C597" s="20"/>
      <c r="D597" s="21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8" x14ac:dyDescent="0.35">
      <c r="A598" s="1"/>
      <c r="B598" s="19"/>
      <c r="C598" s="20"/>
      <c r="D598" s="21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8" x14ac:dyDescent="0.35">
      <c r="A599" s="1"/>
      <c r="B599" s="19"/>
      <c r="C599" s="20"/>
      <c r="D599" s="21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8" x14ac:dyDescent="0.35">
      <c r="A600" s="1"/>
      <c r="B600" s="19"/>
      <c r="C600" s="20"/>
      <c r="D600" s="21"/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8" x14ac:dyDescent="0.35">
      <c r="A601" s="1"/>
      <c r="B601" s="19"/>
      <c r="C601" s="20"/>
      <c r="D601" s="21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8" x14ac:dyDescent="0.35">
      <c r="A602" s="1"/>
      <c r="B602" s="19"/>
      <c r="C602" s="20"/>
      <c r="D602" s="21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8" x14ac:dyDescent="0.35">
      <c r="A603" s="1"/>
      <c r="B603" s="19"/>
      <c r="C603" s="20"/>
      <c r="D603" s="21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8" x14ac:dyDescent="0.35">
      <c r="A604" s="1"/>
      <c r="B604" s="19"/>
      <c r="C604" s="20"/>
      <c r="D604" s="21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8" x14ac:dyDescent="0.35">
      <c r="A605" s="1"/>
      <c r="B605" s="19"/>
      <c r="C605" s="20"/>
      <c r="D605" s="21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8" x14ac:dyDescent="0.35">
      <c r="A606" s="1"/>
      <c r="B606" s="19"/>
      <c r="C606" s="20"/>
      <c r="D606" s="21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8" x14ac:dyDescent="0.35">
      <c r="A607" s="1"/>
      <c r="B607" s="19"/>
      <c r="C607" s="20"/>
      <c r="D607" s="21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8" x14ac:dyDescent="0.35">
      <c r="A608" s="1"/>
      <c r="B608" s="19"/>
      <c r="C608" s="20"/>
      <c r="D608" s="21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8" x14ac:dyDescent="0.35">
      <c r="A609" s="1"/>
      <c r="B609" s="19"/>
      <c r="C609" s="20"/>
      <c r="D609" s="21"/>
      <c r="E609" s="21"/>
      <c r="F609" s="22"/>
      <c r="G609" s="22"/>
      <c r="H609" s="22"/>
      <c r="I609" s="22"/>
      <c r="J609" s="22"/>
      <c r="K609" s="22"/>
      <c r="L609" s="22"/>
      <c r="M609" s="22"/>
      <c r="N609" s="2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8" x14ac:dyDescent="0.35">
      <c r="A610" s="1"/>
      <c r="B610" s="19"/>
      <c r="C610" s="20"/>
      <c r="D610" s="21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8" x14ac:dyDescent="0.35">
      <c r="A611" s="1"/>
      <c r="B611" s="19"/>
      <c r="C611" s="20"/>
      <c r="D611" s="21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8" x14ac:dyDescent="0.35">
      <c r="A612" s="1"/>
      <c r="B612" s="19"/>
      <c r="C612" s="20"/>
      <c r="D612" s="21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8" x14ac:dyDescent="0.35">
      <c r="A613" s="1"/>
      <c r="B613" s="19"/>
      <c r="C613" s="20"/>
      <c r="D613" s="21"/>
      <c r="E613" s="21"/>
      <c r="F613" s="22"/>
      <c r="G613" s="22"/>
      <c r="H613" s="22"/>
      <c r="I613" s="22"/>
      <c r="J613" s="22"/>
      <c r="K613" s="22"/>
      <c r="L613" s="22"/>
      <c r="M613" s="22"/>
      <c r="N613" s="2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8" x14ac:dyDescent="0.35">
      <c r="A614" s="1"/>
      <c r="B614" s="19"/>
      <c r="C614" s="20"/>
      <c r="D614" s="21"/>
      <c r="E614" s="21"/>
      <c r="F614" s="22"/>
      <c r="G614" s="22"/>
      <c r="H614" s="22"/>
      <c r="I614" s="22"/>
      <c r="J614" s="22"/>
      <c r="K614" s="22"/>
      <c r="L614" s="22"/>
      <c r="M614" s="22"/>
      <c r="N614" s="2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8" x14ac:dyDescent="0.35">
      <c r="A615" s="1"/>
      <c r="B615" s="19"/>
      <c r="C615" s="20"/>
      <c r="D615" s="21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8" x14ac:dyDescent="0.35">
      <c r="A616" s="1"/>
      <c r="B616" s="19"/>
      <c r="C616" s="20"/>
      <c r="D616" s="21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8" x14ac:dyDescent="0.35">
      <c r="A617" s="1"/>
      <c r="B617" s="19"/>
      <c r="C617" s="20"/>
      <c r="D617" s="21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8" x14ac:dyDescent="0.35">
      <c r="A618" s="1"/>
      <c r="B618" s="19"/>
      <c r="C618" s="20"/>
      <c r="D618" s="21"/>
      <c r="E618" s="21"/>
      <c r="F618" s="22"/>
      <c r="G618" s="22"/>
      <c r="H618" s="22"/>
      <c r="I618" s="22"/>
      <c r="J618" s="22"/>
      <c r="K618" s="22"/>
      <c r="L618" s="22"/>
      <c r="M618" s="22"/>
      <c r="N618" s="2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8" x14ac:dyDescent="0.35">
      <c r="A619" s="1"/>
      <c r="B619" s="19"/>
      <c r="C619" s="20"/>
      <c r="D619" s="21"/>
      <c r="E619" s="21"/>
      <c r="F619" s="22"/>
      <c r="G619" s="22"/>
      <c r="H619" s="22"/>
      <c r="I619" s="22"/>
      <c r="J619" s="22"/>
      <c r="K619" s="22"/>
      <c r="L619" s="22"/>
      <c r="M619" s="22"/>
      <c r="N619" s="2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8" x14ac:dyDescent="0.35">
      <c r="A620" s="1"/>
      <c r="B620" s="19"/>
      <c r="C620" s="20"/>
      <c r="D620" s="21"/>
      <c r="E620" s="21"/>
      <c r="F620" s="22"/>
      <c r="G620" s="22"/>
      <c r="H620" s="22"/>
      <c r="I620" s="22"/>
      <c r="J620" s="22"/>
      <c r="K620" s="22"/>
      <c r="L620" s="22"/>
      <c r="M620" s="22"/>
      <c r="N620" s="2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8" x14ac:dyDescent="0.35">
      <c r="A621" s="1"/>
      <c r="B621" s="19"/>
      <c r="C621" s="20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8" x14ac:dyDescent="0.35">
      <c r="A622" s="1"/>
      <c r="B622" s="19"/>
      <c r="C622" s="20"/>
      <c r="D622" s="21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8" x14ac:dyDescent="0.35">
      <c r="A623" s="1"/>
      <c r="B623" s="19"/>
      <c r="C623" s="20"/>
      <c r="D623" s="21"/>
      <c r="E623" s="21"/>
      <c r="F623" s="22"/>
      <c r="G623" s="22"/>
      <c r="H623" s="22"/>
      <c r="I623" s="22"/>
      <c r="J623" s="22"/>
      <c r="K623" s="22"/>
      <c r="L623" s="22"/>
      <c r="M623" s="22"/>
      <c r="N623" s="2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8" x14ac:dyDescent="0.35">
      <c r="A624" s="1"/>
      <c r="B624" s="19"/>
      <c r="C624" s="20"/>
      <c r="D624" s="21"/>
      <c r="E624" s="21"/>
      <c r="F624" s="22"/>
      <c r="G624" s="22"/>
      <c r="H624" s="22"/>
      <c r="I624" s="22"/>
      <c r="J624" s="22"/>
      <c r="K624" s="22"/>
      <c r="L624" s="22"/>
      <c r="M624" s="22"/>
      <c r="N624" s="2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8" x14ac:dyDescent="0.35">
      <c r="A625" s="1"/>
      <c r="B625" s="19"/>
      <c r="C625" s="20"/>
      <c r="D625" s="21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8" x14ac:dyDescent="0.35">
      <c r="A626" s="1"/>
      <c r="B626" s="19"/>
      <c r="C626" s="20"/>
      <c r="D626" s="21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8" x14ac:dyDescent="0.35">
      <c r="A627" s="1"/>
      <c r="B627" s="19"/>
      <c r="C627" s="20"/>
      <c r="D627" s="21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8" x14ac:dyDescent="0.35">
      <c r="A628" s="1"/>
      <c r="B628" s="19"/>
      <c r="C628" s="20"/>
      <c r="D628" s="21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8" x14ac:dyDescent="0.35">
      <c r="A629" s="1"/>
      <c r="B629" s="19"/>
      <c r="C629" s="20"/>
      <c r="D629" s="21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8" x14ac:dyDescent="0.35">
      <c r="A630" s="1"/>
      <c r="B630" s="19"/>
      <c r="C630" s="20"/>
      <c r="D630" s="21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8" x14ac:dyDescent="0.35">
      <c r="A631" s="1"/>
      <c r="B631" s="19"/>
      <c r="C631" s="20"/>
      <c r="D631" s="21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8" x14ac:dyDescent="0.35">
      <c r="A632" s="1"/>
      <c r="B632" s="19"/>
      <c r="C632" s="20"/>
      <c r="D632" s="21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8" x14ac:dyDescent="0.35">
      <c r="A633" s="1"/>
      <c r="B633" s="19"/>
      <c r="C633" s="20"/>
      <c r="D633" s="21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8" x14ac:dyDescent="0.35">
      <c r="A634" s="1"/>
      <c r="B634" s="19"/>
      <c r="C634" s="20"/>
      <c r="D634" s="21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8" x14ac:dyDescent="0.35">
      <c r="A635" s="1"/>
      <c r="B635" s="19"/>
      <c r="C635" s="20"/>
      <c r="D635" s="21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8" x14ac:dyDescent="0.35">
      <c r="A636" s="1"/>
      <c r="B636" s="19"/>
      <c r="C636" s="20"/>
      <c r="D636" s="21"/>
      <c r="E636" s="21"/>
      <c r="F636" s="22"/>
      <c r="G636" s="22"/>
      <c r="H636" s="22"/>
      <c r="I636" s="22"/>
      <c r="J636" s="22"/>
      <c r="K636" s="22"/>
      <c r="L636" s="22"/>
      <c r="M636" s="22"/>
      <c r="N636" s="2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8" x14ac:dyDescent="0.35">
      <c r="A637" s="1"/>
      <c r="B637" s="19"/>
      <c r="C637" s="20"/>
      <c r="D637" s="21"/>
      <c r="E637" s="21"/>
      <c r="F637" s="22"/>
      <c r="G637" s="22"/>
      <c r="H637" s="22"/>
      <c r="I637" s="22"/>
      <c r="J637" s="22"/>
      <c r="K637" s="22"/>
      <c r="L637" s="22"/>
      <c r="M637" s="22"/>
      <c r="N637" s="2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8" x14ac:dyDescent="0.35">
      <c r="A638" s="1"/>
      <c r="B638" s="19"/>
      <c r="C638" s="20"/>
      <c r="D638" s="21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8" x14ac:dyDescent="0.35">
      <c r="A639" s="1"/>
      <c r="B639" s="19"/>
      <c r="C639" s="20"/>
      <c r="D639" s="21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8" x14ac:dyDescent="0.35">
      <c r="A640" s="1"/>
      <c r="B640" s="19"/>
      <c r="C640" s="20"/>
      <c r="D640" s="21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8" x14ac:dyDescent="0.35">
      <c r="A641" s="1"/>
      <c r="B641" s="19"/>
      <c r="C641" s="20"/>
      <c r="D641" s="21"/>
      <c r="E641" s="21"/>
      <c r="F641" s="22"/>
      <c r="G641" s="22"/>
      <c r="H641" s="22"/>
      <c r="I641" s="22"/>
      <c r="J641" s="22"/>
      <c r="K641" s="22"/>
      <c r="L641" s="22"/>
      <c r="M641" s="22"/>
      <c r="N641" s="2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8" x14ac:dyDescent="0.35">
      <c r="A642" s="1"/>
      <c r="B642" s="19"/>
      <c r="C642" s="20"/>
      <c r="D642" s="21"/>
      <c r="E642" s="21"/>
      <c r="F642" s="22"/>
      <c r="G642" s="22"/>
      <c r="H642" s="22"/>
      <c r="I642" s="22"/>
      <c r="J642" s="22"/>
      <c r="K642" s="22"/>
      <c r="L642" s="22"/>
      <c r="M642" s="22"/>
      <c r="N642" s="2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8" x14ac:dyDescent="0.35">
      <c r="A643" s="1"/>
      <c r="B643" s="19"/>
      <c r="C643" s="20"/>
      <c r="D643" s="21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8" x14ac:dyDescent="0.35">
      <c r="A644" s="1"/>
      <c r="B644" s="19"/>
      <c r="C644" s="20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8" x14ac:dyDescent="0.35">
      <c r="A645" s="1"/>
      <c r="B645" s="19"/>
      <c r="C645" s="20"/>
      <c r="D645" s="21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8" x14ac:dyDescent="0.35">
      <c r="A646" s="1"/>
      <c r="B646" s="19"/>
      <c r="C646" s="20"/>
      <c r="D646" s="21"/>
      <c r="E646" s="21"/>
      <c r="F646" s="22"/>
      <c r="G646" s="22"/>
      <c r="H646" s="22"/>
      <c r="I646" s="22"/>
      <c r="J646" s="22"/>
      <c r="K646" s="22"/>
      <c r="L646" s="22"/>
      <c r="M646" s="22"/>
      <c r="N646" s="2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8" x14ac:dyDescent="0.35">
      <c r="A647" s="1"/>
      <c r="B647" s="19"/>
      <c r="C647" s="20"/>
      <c r="D647" s="21"/>
      <c r="E647" s="21"/>
      <c r="F647" s="22"/>
      <c r="G647" s="22"/>
      <c r="H647" s="22"/>
      <c r="I647" s="22"/>
      <c r="J647" s="22"/>
      <c r="K647" s="22"/>
      <c r="L647" s="22"/>
      <c r="M647" s="22"/>
      <c r="N647" s="2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8" x14ac:dyDescent="0.35">
      <c r="A648" s="1"/>
      <c r="B648" s="19"/>
      <c r="C648" s="20"/>
      <c r="D648" s="21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8" x14ac:dyDescent="0.35">
      <c r="A649" s="1"/>
      <c r="B649" s="19"/>
      <c r="C649" s="20"/>
      <c r="D649" s="21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8" x14ac:dyDescent="0.35">
      <c r="A650" s="1"/>
      <c r="B650" s="19"/>
      <c r="C650" s="20"/>
      <c r="D650" s="21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8" x14ac:dyDescent="0.35">
      <c r="A651" s="1"/>
      <c r="B651" s="19"/>
      <c r="C651" s="20"/>
      <c r="D651" s="21"/>
      <c r="E651" s="21"/>
      <c r="F651" s="22"/>
      <c r="G651" s="22"/>
      <c r="H651" s="22"/>
      <c r="I651" s="22"/>
      <c r="J651" s="22"/>
      <c r="K651" s="22"/>
      <c r="L651" s="22"/>
      <c r="M651" s="22"/>
      <c r="N651" s="2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8" x14ac:dyDescent="0.35">
      <c r="A652" s="1"/>
      <c r="B652" s="19"/>
      <c r="C652" s="20"/>
      <c r="D652" s="21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8" x14ac:dyDescent="0.35">
      <c r="A653" s="1"/>
      <c r="B653" s="19"/>
      <c r="C653" s="20"/>
      <c r="D653" s="21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8" x14ac:dyDescent="0.35">
      <c r="A654" s="1"/>
      <c r="B654" s="19"/>
      <c r="C654" s="20"/>
      <c r="D654" s="21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8" x14ac:dyDescent="0.35">
      <c r="A655" s="1"/>
      <c r="B655" s="19"/>
      <c r="C655" s="20"/>
      <c r="D655" s="21"/>
      <c r="E655" s="21"/>
      <c r="F655" s="22"/>
      <c r="G655" s="22"/>
      <c r="H655" s="22"/>
      <c r="I655" s="22"/>
      <c r="J655" s="22"/>
      <c r="K655" s="22"/>
      <c r="L655" s="22"/>
      <c r="M655" s="22"/>
      <c r="N655" s="2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8" x14ac:dyDescent="0.35">
      <c r="A656" s="1"/>
      <c r="B656" s="19"/>
      <c r="C656" s="20"/>
      <c r="D656" s="21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8" x14ac:dyDescent="0.35">
      <c r="A657" s="1"/>
      <c r="B657" s="19"/>
      <c r="C657" s="20"/>
      <c r="D657" s="21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8" x14ac:dyDescent="0.35">
      <c r="A658" s="1"/>
      <c r="B658" s="19"/>
      <c r="C658" s="20"/>
      <c r="D658" s="21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8" x14ac:dyDescent="0.35">
      <c r="A659" s="1"/>
      <c r="B659" s="19"/>
      <c r="C659" s="20"/>
      <c r="D659" s="21"/>
      <c r="E659" s="21"/>
      <c r="F659" s="22"/>
      <c r="G659" s="22"/>
      <c r="H659" s="22"/>
      <c r="I659" s="22"/>
      <c r="J659" s="22"/>
      <c r="K659" s="22"/>
      <c r="L659" s="22"/>
      <c r="M659" s="22"/>
      <c r="N659" s="2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8" x14ac:dyDescent="0.35">
      <c r="A660" s="1"/>
      <c r="B660" s="19"/>
      <c r="C660" s="20"/>
      <c r="D660" s="21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8" x14ac:dyDescent="0.35">
      <c r="A661" s="1"/>
      <c r="B661" s="19"/>
      <c r="C661" s="20"/>
      <c r="D661" s="21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8" x14ac:dyDescent="0.35">
      <c r="A662" s="1"/>
      <c r="B662" s="19"/>
      <c r="C662" s="20"/>
      <c r="D662" s="21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8" x14ac:dyDescent="0.35">
      <c r="A663" s="1"/>
      <c r="B663" s="19"/>
      <c r="C663" s="20"/>
      <c r="D663" s="21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8" x14ac:dyDescent="0.35">
      <c r="A664" s="1"/>
      <c r="B664" s="19"/>
      <c r="C664" s="20"/>
      <c r="D664" s="21"/>
      <c r="E664" s="21"/>
      <c r="F664" s="22"/>
      <c r="G664" s="22"/>
      <c r="H664" s="22"/>
      <c r="I664" s="22"/>
      <c r="J664" s="22"/>
      <c r="K664" s="22"/>
      <c r="L664" s="22"/>
      <c r="M664" s="22"/>
      <c r="N664" s="2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8" x14ac:dyDescent="0.35">
      <c r="A665" s="1"/>
      <c r="B665" s="19"/>
      <c r="C665" s="20"/>
      <c r="D665" s="21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8" x14ac:dyDescent="0.35">
      <c r="A666" s="1"/>
      <c r="B666" s="19"/>
      <c r="C666" s="20"/>
      <c r="D666" s="21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8" x14ac:dyDescent="0.35">
      <c r="A667" s="1"/>
      <c r="B667" s="19"/>
      <c r="C667" s="20"/>
      <c r="D667" s="21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8" x14ac:dyDescent="0.35">
      <c r="A668" s="1"/>
      <c r="B668" s="19"/>
      <c r="C668" s="20"/>
      <c r="D668" s="21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8" x14ac:dyDescent="0.35">
      <c r="A669" s="1"/>
      <c r="B669" s="19"/>
      <c r="C669" s="20"/>
      <c r="D669" s="21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8" x14ac:dyDescent="0.35">
      <c r="A670" s="1"/>
      <c r="B670" s="19"/>
      <c r="C670" s="20"/>
      <c r="D670" s="21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8" x14ac:dyDescent="0.35">
      <c r="A671" s="1"/>
      <c r="B671" s="19"/>
      <c r="C671" s="20"/>
      <c r="D671" s="21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8" x14ac:dyDescent="0.35">
      <c r="A672" s="1"/>
      <c r="B672" s="19"/>
      <c r="C672" s="20"/>
      <c r="D672" s="21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8" x14ac:dyDescent="0.35">
      <c r="A673" s="1"/>
      <c r="B673" s="19"/>
      <c r="C673" s="20"/>
      <c r="D673" s="21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8" x14ac:dyDescent="0.35">
      <c r="A674" s="1"/>
      <c r="B674" s="19"/>
      <c r="C674" s="20"/>
      <c r="D674" s="21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8" x14ac:dyDescent="0.35">
      <c r="A675" s="1"/>
      <c r="B675" s="19"/>
      <c r="C675" s="20"/>
      <c r="D675" s="21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8" x14ac:dyDescent="0.35">
      <c r="A676" s="1"/>
      <c r="B676" s="19"/>
      <c r="C676" s="20"/>
      <c r="D676" s="21"/>
      <c r="E676" s="21"/>
      <c r="F676" s="22"/>
      <c r="G676" s="22"/>
      <c r="H676" s="22"/>
      <c r="I676" s="22"/>
      <c r="J676" s="22"/>
      <c r="K676" s="22"/>
      <c r="L676" s="22"/>
      <c r="M676" s="22"/>
      <c r="N676" s="2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8" x14ac:dyDescent="0.35">
      <c r="A677" s="1"/>
      <c r="B677" s="19"/>
      <c r="C677" s="20"/>
      <c r="D677" s="21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8" x14ac:dyDescent="0.35">
      <c r="A678" s="1"/>
      <c r="B678" s="19"/>
      <c r="C678" s="20"/>
      <c r="D678" s="21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8" x14ac:dyDescent="0.35">
      <c r="A679" s="1"/>
      <c r="B679" s="19"/>
      <c r="C679" s="20"/>
      <c r="D679" s="21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8" x14ac:dyDescent="0.35">
      <c r="A680" s="1"/>
      <c r="B680" s="19"/>
      <c r="C680" s="20"/>
      <c r="D680" s="21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8" x14ac:dyDescent="0.35">
      <c r="A681" s="1"/>
      <c r="B681" s="19"/>
      <c r="C681" s="20"/>
      <c r="D681" s="21"/>
      <c r="E681" s="21"/>
      <c r="F681" s="22"/>
      <c r="G681" s="22"/>
      <c r="H681" s="22"/>
      <c r="I681" s="22"/>
      <c r="J681" s="22"/>
      <c r="K681" s="22"/>
      <c r="L681" s="22"/>
      <c r="M681" s="22"/>
      <c r="N681" s="2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8" x14ac:dyDescent="0.35">
      <c r="A682" s="1"/>
      <c r="B682" s="19"/>
      <c r="C682" s="20"/>
      <c r="D682" s="21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8" x14ac:dyDescent="0.35">
      <c r="A683" s="1"/>
      <c r="B683" s="19"/>
      <c r="C683" s="20"/>
      <c r="D683" s="21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8" x14ac:dyDescent="0.35">
      <c r="A684" s="1"/>
      <c r="B684" s="19"/>
      <c r="C684" s="20"/>
      <c r="D684" s="21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8" x14ac:dyDescent="0.35">
      <c r="A685" s="1"/>
      <c r="B685" s="19"/>
      <c r="C685" s="20"/>
      <c r="D685" s="21"/>
      <c r="E685" s="21"/>
      <c r="F685" s="22"/>
      <c r="G685" s="22"/>
      <c r="H685" s="22"/>
      <c r="I685" s="22"/>
      <c r="J685" s="22"/>
      <c r="K685" s="22"/>
      <c r="L685" s="22"/>
      <c r="M685" s="22"/>
      <c r="N685" s="2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8" x14ac:dyDescent="0.35">
      <c r="A686" s="1"/>
      <c r="B686" s="19"/>
      <c r="C686" s="20"/>
      <c r="D686" s="21"/>
      <c r="E686" s="21"/>
      <c r="F686" s="22"/>
      <c r="G686" s="22"/>
      <c r="H686" s="22"/>
      <c r="I686" s="22"/>
      <c r="J686" s="22"/>
      <c r="K686" s="22"/>
      <c r="L686" s="22"/>
      <c r="M686" s="22"/>
      <c r="N686" s="2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8" x14ac:dyDescent="0.35">
      <c r="A687" s="1"/>
      <c r="B687" s="19"/>
      <c r="C687" s="20"/>
      <c r="D687" s="21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8" x14ac:dyDescent="0.35">
      <c r="A688" s="1"/>
      <c r="B688" s="19"/>
      <c r="C688" s="20"/>
      <c r="D688" s="21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8" x14ac:dyDescent="0.35">
      <c r="A689" s="1"/>
      <c r="B689" s="19"/>
      <c r="C689" s="20"/>
      <c r="D689" s="21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8" x14ac:dyDescent="0.35">
      <c r="A690" s="1"/>
      <c r="B690" s="19"/>
      <c r="C690" s="20"/>
      <c r="D690" s="21"/>
      <c r="E690" s="21"/>
      <c r="F690" s="22"/>
      <c r="G690" s="22"/>
      <c r="H690" s="22"/>
      <c r="I690" s="22"/>
      <c r="J690" s="22"/>
      <c r="K690" s="22"/>
      <c r="L690" s="22"/>
      <c r="M690" s="22"/>
      <c r="N690" s="2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8" x14ac:dyDescent="0.35">
      <c r="A691" s="1"/>
      <c r="B691" s="19"/>
      <c r="C691" s="20"/>
      <c r="D691" s="21"/>
      <c r="E691" s="21"/>
      <c r="F691" s="22"/>
      <c r="G691" s="22"/>
      <c r="H691" s="22"/>
      <c r="I691" s="22"/>
      <c r="J691" s="22"/>
      <c r="K691" s="22"/>
      <c r="L691" s="22"/>
      <c r="M691" s="22"/>
      <c r="N691" s="2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8" x14ac:dyDescent="0.35">
      <c r="A692" s="1"/>
      <c r="B692" s="19"/>
      <c r="C692" s="20"/>
      <c r="D692" s="21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8" x14ac:dyDescent="0.35">
      <c r="A693" s="1"/>
      <c r="B693" s="19"/>
      <c r="C693" s="20"/>
      <c r="D693" s="21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8" x14ac:dyDescent="0.35">
      <c r="A694" s="1"/>
      <c r="B694" s="19"/>
      <c r="C694" s="20"/>
      <c r="D694" s="21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8" x14ac:dyDescent="0.35">
      <c r="A695" s="1"/>
      <c r="B695" s="19"/>
      <c r="C695" s="20"/>
      <c r="D695" s="21"/>
      <c r="E695" s="21"/>
      <c r="F695" s="22"/>
      <c r="G695" s="22"/>
      <c r="H695" s="22"/>
      <c r="I695" s="22"/>
      <c r="J695" s="22"/>
      <c r="K695" s="22"/>
      <c r="L695" s="22"/>
      <c r="M695" s="22"/>
      <c r="N695" s="2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8" x14ac:dyDescent="0.35">
      <c r="A696" s="1"/>
      <c r="B696" s="19"/>
      <c r="C696" s="20"/>
      <c r="D696" s="21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8" x14ac:dyDescent="0.35">
      <c r="A697" s="1"/>
      <c r="B697" s="19"/>
      <c r="C697" s="20"/>
      <c r="D697" s="21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8" x14ac:dyDescent="0.35">
      <c r="A698" s="1"/>
      <c r="B698" s="19"/>
      <c r="C698" s="20"/>
      <c r="D698" s="21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8" x14ac:dyDescent="0.35">
      <c r="A699" s="1"/>
      <c r="B699" s="19"/>
      <c r="C699" s="20"/>
      <c r="D699" s="21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8" x14ac:dyDescent="0.35">
      <c r="A700" s="1"/>
      <c r="B700" s="19"/>
      <c r="C700" s="20"/>
      <c r="D700" s="21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8" x14ac:dyDescent="0.35">
      <c r="A701" s="1"/>
      <c r="B701" s="19"/>
      <c r="C701" s="20"/>
      <c r="D701" s="21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8" x14ac:dyDescent="0.35">
      <c r="A702" s="1"/>
      <c r="B702" s="19"/>
      <c r="C702" s="20"/>
      <c r="D702" s="21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8" x14ac:dyDescent="0.35">
      <c r="A703" s="1"/>
      <c r="B703" s="19"/>
      <c r="C703" s="20"/>
      <c r="D703" s="21"/>
      <c r="E703" s="21"/>
      <c r="F703" s="22"/>
      <c r="G703" s="22"/>
      <c r="H703" s="22"/>
      <c r="I703" s="22"/>
      <c r="J703" s="22"/>
      <c r="K703" s="22"/>
      <c r="L703" s="22"/>
      <c r="M703" s="22"/>
      <c r="N703" s="2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8" x14ac:dyDescent="0.35">
      <c r="A704" s="1"/>
      <c r="B704" s="19"/>
      <c r="C704" s="20"/>
      <c r="D704" s="21"/>
      <c r="E704" s="21"/>
      <c r="F704" s="22"/>
      <c r="G704" s="22"/>
      <c r="H704" s="22"/>
      <c r="I704" s="22"/>
      <c r="J704" s="22"/>
      <c r="K704" s="22"/>
      <c r="L704" s="22"/>
      <c r="M704" s="22"/>
      <c r="N704" s="2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8" x14ac:dyDescent="0.35">
      <c r="A705" s="1"/>
      <c r="B705" s="19"/>
      <c r="C705" s="20"/>
      <c r="D705" s="21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8" x14ac:dyDescent="0.35">
      <c r="A706" s="1"/>
      <c r="B706" s="19"/>
      <c r="C706" s="20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8" x14ac:dyDescent="0.35">
      <c r="A707" s="1"/>
      <c r="B707" s="19"/>
      <c r="C707" s="20"/>
      <c r="D707" s="21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8" x14ac:dyDescent="0.35">
      <c r="A708" s="1"/>
      <c r="B708" s="19"/>
      <c r="C708" s="20"/>
      <c r="D708" s="21"/>
      <c r="E708" s="21"/>
      <c r="F708" s="22"/>
      <c r="G708" s="22"/>
      <c r="H708" s="22"/>
      <c r="I708" s="22"/>
      <c r="J708" s="22"/>
      <c r="K708" s="22"/>
      <c r="L708" s="22"/>
      <c r="M708" s="22"/>
      <c r="N708" s="2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8" x14ac:dyDescent="0.35">
      <c r="A709" s="1"/>
      <c r="B709" s="19"/>
      <c r="C709" s="20"/>
      <c r="D709" s="21"/>
      <c r="E709" s="21"/>
      <c r="F709" s="22"/>
      <c r="G709" s="22"/>
      <c r="H709" s="22"/>
      <c r="I709" s="22"/>
      <c r="J709" s="22"/>
      <c r="K709" s="22"/>
      <c r="L709" s="22"/>
      <c r="M709" s="22"/>
      <c r="N709" s="2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8" x14ac:dyDescent="0.35">
      <c r="A710" s="1"/>
      <c r="B710" s="19"/>
      <c r="C710" s="20"/>
      <c r="D710" s="21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8" x14ac:dyDescent="0.35">
      <c r="A711" s="1"/>
      <c r="B711" s="19"/>
      <c r="C711" s="20"/>
      <c r="D711" s="21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8" x14ac:dyDescent="0.35">
      <c r="A712" s="1"/>
      <c r="B712" s="19"/>
      <c r="C712" s="20"/>
      <c r="D712" s="21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8" x14ac:dyDescent="0.35">
      <c r="A713" s="1"/>
      <c r="B713" s="19"/>
      <c r="C713" s="20"/>
      <c r="D713" s="21"/>
      <c r="E713" s="21"/>
      <c r="F713" s="22"/>
      <c r="G713" s="22"/>
      <c r="H713" s="22"/>
      <c r="I713" s="22"/>
      <c r="J713" s="22"/>
      <c r="K713" s="22"/>
      <c r="L713" s="22"/>
      <c r="M713" s="22"/>
      <c r="N713" s="2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8" x14ac:dyDescent="0.35">
      <c r="A714" s="1"/>
      <c r="B714" s="19"/>
      <c r="C714" s="20"/>
      <c r="D714" s="21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8" x14ac:dyDescent="0.35">
      <c r="A715" s="1"/>
      <c r="B715" s="19"/>
      <c r="C715" s="20"/>
      <c r="D715" s="21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8" x14ac:dyDescent="0.35">
      <c r="A716" s="1"/>
      <c r="B716" s="19"/>
      <c r="C716" s="20"/>
      <c r="D716" s="21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8" x14ac:dyDescent="0.35">
      <c r="A717" s="1"/>
      <c r="B717" s="19"/>
      <c r="C717" s="20"/>
      <c r="D717" s="21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8" x14ac:dyDescent="0.35">
      <c r="A718" s="1"/>
      <c r="B718" s="19"/>
      <c r="C718" s="20"/>
      <c r="D718" s="21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8" x14ac:dyDescent="0.35">
      <c r="A719" s="1"/>
      <c r="B719" s="19"/>
      <c r="C719" s="20"/>
      <c r="D719" s="21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8" x14ac:dyDescent="0.35">
      <c r="A720" s="1"/>
      <c r="B720" s="19"/>
      <c r="C720" s="20"/>
      <c r="D720" s="21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8" x14ac:dyDescent="0.35">
      <c r="A721" s="1"/>
      <c r="B721" s="19"/>
      <c r="C721" s="20"/>
      <c r="D721" s="21"/>
      <c r="E721" s="21"/>
      <c r="F721" s="22"/>
      <c r="G721" s="22"/>
      <c r="H721" s="22"/>
      <c r="I721" s="22"/>
      <c r="J721" s="22"/>
      <c r="K721" s="22"/>
      <c r="L721" s="22"/>
      <c r="M721" s="22"/>
      <c r="N721" s="2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8" x14ac:dyDescent="0.35">
      <c r="A722" s="1"/>
      <c r="B722" s="19"/>
      <c r="C722" s="20"/>
      <c r="D722" s="21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8" x14ac:dyDescent="0.35">
      <c r="A723" s="1"/>
      <c r="B723" s="19"/>
      <c r="C723" s="20"/>
      <c r="D723" s="21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8" x14ac:dyDescent="0.35">
      <c r="A724" s="1"/>
      <c r="B724" s="19"/>
      <c r="C724" s="20"/>
      <c r="D724" s="21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8" x14ac:dyDescent="0.35">
      <c r="A725" s="1"/>
      <c r="B725" s="19"/>
      <c r="C725" s="20"/>
      <c r="D725" s="21"/>
      <c r="E725" s="21"/>
      <c r="F725" s="22"/>
      <c r="G725" s="22"/>
      <c r="H725" s="22"/>
      <c r="I725" s="22"/>
      <c r="J725" s="22"/>
      <c r="K725" s="22"/>
      <c r="L725" s="22"/>
      <c r="M725" s="22"/>
      <c r="N725" s="2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8" x14ac:dyDescent="0.35">
      <c r="A726" s="1"/>
      <c r="B726" s="19"/>
      <c r="C726" s="20"/>
      <c r="D726" s="21"/>
      <c r="E726" s="21"/>
      <c r="F726" s="22"/>
      <c r="G726" s="22"/>
      <c r="H726" s="22"/>
      <c r="I726" s="22"/>
      <c r="J726" s="22"/>
      <c r="K726" s="22"/>
      <c r="L726" s="22"/>
      <c r="M726" s="22"/>
      <c r="N726" s="2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8" x14ac:dyDescent="0.35">
      <c r="A727" s="1"/>
      <c r="B727" s="19"/>
      <c r="C727" s="20"/>
      <c r="D727" s="21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8" x14ac:dyDescent="0.35">
      <c r="A728" s="1"/>
      <c r="B728" s="19"/>
      <c r="C728" s="20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8" x14ac:dyDescent="0.35">
      <c r="A729" s="1"/>
      <c r="B729" s="19"/>
      <c r="C729" s="20"/>
      <c r="D729" s="21"/>
      <c r="E729" s="21"/>
      <c r="F729" s="22"/>
      <c r="G729" s="22"/>
      <c r="H729" s="22"/>
      <c r="I729" s="22"/>
      <c r="J729" s="22"/>
      <c r="K729" s="22"/>
      <c r="L729" s="22"/>
      <c r="M729" s="22"/>
      <c r="N729" s="2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8" x14ac:dyDescent="0.35">
      <c r="A730" s="1"/>
      <c r="B730" s="19"/>
      <c r="C730" s="20"/>
      <c r="D730" s="21"/>
      <c r="E730" s="21"/>
      <c r="F730" s="22"/>
      <c r="G730" s="22"/>
      <c r="H730" s="22"/>
      <c r="I730" s="22"/>
      <c r="J730" s="22"/>
      <c r="K730" s="22"/>
      <c r="L730" s="22"/>
      <c r="M730" s="22"/>
      <c r="N730" s="2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8" x14ac:dyDescent="0.35">
      <c r="A731" s="1"/>
      <c r="B731" s="19"/>
      <c r="C731" s="20"/>
      <c r="D731" s="21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8" x14ac:dyDescent="0.35">
      <c r="A732" s="1"/>
      <c r="B732" s="19"/>
      <c r="C732" s="20"/>
      <c r="D732" s="21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8" x14ac:dyDescent="0.35">
      <c r="A733" s="1"/>
      <c r="B733" s="19"/>
      <c r="C733" s="20"/>
      <c r="D733" s="21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8" x14ac:dyDescent="0.35">
      <c r="A734" s="1"/>
      <c r="B734" s="19"/>
      <c r="C734" s="20"/>
      <c r="D734" s="21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8" x14ac:dyDescent="0.35">
      <c r="A735" s="1"/>
      <c r="B735" s="19"/>
      <c r="C735" s="20"/>
      <c r="D735" s="21"/>
      <c r="E735" s="21"/>
      <c r="F735" s="22"/>
      <c r="G735" s="22"/>
      <c r="H735" s="22"/>
      <c r="I735" s="22"/>
      <c r="J735" s="22"/>
      <c r="K735" s="22"/>
      <c r="L735" s="22"/>
      <c r="M735" s="22"/>
      <c r="N735" s="2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8" x14ac:dyDescent="0.35">
      <c r="A736" s="1"/>
      <c r="B736" s="19"/>
      <c r="C736" s="20"/>
      <c r="D736" s="21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8" x14ac:dyDescent="0.35">
      <c r="A737" s="1"/>
      <c r="B737" s="19"/>
      <c r="C737" s="20"/>
      <c r="D737" s="21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8" x14ac:dyDescent="0.35">
      <c r="A738" s="1"/>
      <c r="B738" s="19"/>
      <c r="C738" s="20"/>
      <c r="D738" s="21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8" x14ac:dyDescent="0.35">
      <c r="A739" s="1"/>
      <c r="B739" s="19"/>
      <c r="C739" s="20"/>
      <c r="D739" s="21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8" x14ac:dyDescent="0.35">
      <c r="A740" s="1"/>
      <c r="B740" s="19"/>
      <c r="C740" s="20"/>
      <c r="D740" s="21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8" x14ac:dyDescent="0.35">
      <c r="A741" s="1"/>
      <c r="B741" s="19"/>
      <c r="C741" s="20"/>
      <c r="D741" s="21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8" x14ac:dyDescent="0.35">
      <c r="A742" s="1"/>
      <c r="B742" s="19"/>
      <c r="C742" s="20"/>
      <c r="D742" s="21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8" x14ac:dyDescent="0.35">
      <c r="A743" s="1"/>
      <c r="B743" s="19"/>
      <c r="C743" s="20"/>
      <c r="D743" s="21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8" x14ac:dyDescent="0.35">
      <c r="A744" s="1"/>
      <c r="B744" s="19"/>
      <c r="C744" s="20"/>
      <c r="D744" s="21"/>
      <c r="E744" s="21"/>
      <c r="F744" s="22"/>
      <c r="G744" s="22"/>
      <c r="H744" s="22"/>
      <c r="I744" s="22"/>
      <c r="J744" s="22"/>
      <c r="K744" s="22"/>
      <c r="L744" s="22"/>
      <c r="M744" s="22"/>
      <c r="N744" s="2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8" x14ac:dyDescent="0.35">
      <c r="A745" s="1"/>
      <c r="B745" s="19"/>
      <c r="C745" s="20"/>
      <c r="D745" s="21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8" x14ac:dyDescent="0.35">
      <c r="A746" s="1"/>
      <c r="B746" s="19"/>
      <c r="C746" s="20"/>
      <c r="D746" s="21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8" x14ac:dyDescent="0.35">
      <c r="A747" s="1"/>
      <c r="B747" s="19"/>
      <c r="C747" s="20"/>
      <c r="D747" s="21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8" x14ac:dyDescent="0.35">
      <c r="A748" s="1"/>
      <c r="B748" s="19"/>
      <c r="C748" s="20"/>
      <c r="D748" s="21"/>
      <c r="E748" s="21"/>
      <c r="F748" s="22"/>
      <c r="G748" s="22"/>
      <c r="H748" s="22"/>
      <c r="I748" s="22"/>
      <c r="J748" s="22"/>
      <c r="K748" s="22"/>
      <c r="L748" s="22"/>
      <c r="M748" s="22"/>
      <c r="N748" s="2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8" x14ac:dyDescent="0.35">
      <c r="A749" s="1"/>
      <c r="B749" s="19"/>
      <c r="C749" s="20"/>
      <c r="D749" s="21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8" x14ac:dyDescent="0.35">
      <c r="A750" s="1"/>
      <c r="B750" s="19"/>
      <c r="C750" s="20"/>
      <c r="D750" s="21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8" x14ac:dyDescent="0.35">
      <c r="A751" s="1"/>
      <c r="B751" s="19"/>
      <c r="C751" s="20"/>
      <c r="D751" s="21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8" x14ac:dyDescent="0.35">
      <c r="A752" s="1"/>
      <c r="B752" s="19"/>
      <c r="C752" s="20"/>
      <c r="D752" s="21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8" x14ac:dyDescent="0.35">
      <c r="A753" s="1"/>
      <c r="B753" s="19"/>
      <c r="C753" s="20"/>
      <c r="D753" s="21"/>
      <c r="E753" s="21"/>
      <c r="F753" s="22"/>
      <c r="G753" s="22"/>
      <c r="H753" s="22"/>
      <c r="I753" s="22"/>
      <c r="J753" s="22"/>
      <c r="K753" s="22"/>
      <c r="L753" s="22"/>
      <c r="M753" s="22"/>
      <c r="N753" s="2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8" x14ac:dyDescent="0.35">
      <c r="A754" s="1"/>
      <c r="B754" s="19"/>
      <c r="C754" s="20"/>
      <c r="D754" s="21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8" x14ac:dyDescent="0.35">
      <c r="A755" s="1"/>
      <c r="B755" s="19"/>
      <c r="C755" s="20"/>
      <c r="D755" s="21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8" x14ac:dyDescent="0.35">
      <c r="A756" s="1"/>
      <c r="B756" s="19"/>
      <c r="C756" s="20"/>
      <c r="D756" s="21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8" x14ac:dyDescent="0.35">
      <c r="A757" s="1"/>
      <c r="B757" s="19"/>
      <c r="C757" s="20"/>
      <c r="D757" s="21"/>
      <c r="E757" s="21"/>
      <c r="F757" s="22"/>
      <c r="G757" s="22"/>
      <c r="H757" s="22"/>
      <c r="I757" s="22"/>
      <c r="J757" s="22"/>
      <c r="K757" s="22"/>
      <c r="L757" s="22"/>
      <c r="M757" s="22"/>
      <c r="N757" s="2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8" x14ac:dyDescent="0.35">
      <c r="A758" s="1"/>
      <c r="B758" s="19"/>
      <c r="C758" s="20"/>
      <c r="D758" s="21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8" x14ac:dyDescent="0.35">
      <c r="A759" s="1"/>
      <c r="B759" s="19"/>
      <c r="C759" s="20"/>
      <c r="D759" s="21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8" x14ac:dyDescent="0.35">
      <c r="A760" s="1"/>
      <c r="B760" s="19"/>
      <c r="C760" s="20"/>
      <c r="D760" s="21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8" x14ac:dyDescent="0.35">
      <c r="A761" s="1"/>
      <c r="B761" s="19"/>
      <c r="C761" s="20"/>
      <c r="D761" s="21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8" x14ac:dyDescent="0.35">
      <c r="A762" s="1"/>
      <c r="B762" s="19"/>
      <c r="C762" s="20"/>
      <c r="D762" s="21"/>
      <c r="E762" s="21"/>
      <c r="F762" s="22"/>
      <c r="G762" s="22"/>
      <c r="H762" s="22"/>
      <c r="I762" s="22"/>
      <c r="J762" s="22"/>
      <c r="K762" s="22"/>
      <c r="L762" s="22"/>
      <c r="M762" s="22"/>
      <c r="N762" s="2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8" x14ac:dyDescent="0.35">
      <c r="A763" s="1"/>
      <c r="B763" s="19"/>
      <c r="C763" s="20"/>
      <c r="D763" s="21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8" x14ac:dyDescent="0.35">
      <c r="A764" s="1"/>
      <c r="B764" s="19"/>
      <c r="C764" s="20"/>
      <c r="D764" s="21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8" x14ac:dyDescent="0.35">
      <c r="A765" s="1"/>
      <c r="B765" s="19"/>
      <c r="C765" s="20"/>
      <c r="D765" s="21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8" x14ac:dyDescent="0.35">
      <c r="A766" s="1"/>
      <c r="B766" s="19"/>
      <c r="C766" s="20"/>
      <c r="D766" s="21"/>
      <c r="E766" s="21"/>
      <c r="F766" s="22"/>
      <c r="G766" s="22"/>
      <c r="H766" s="22"/>
      <c r="I766" s="22"/>
      <c r="J766" s="22"/>
      <c r="K766" s="22"/>
      <c r="L766" s="22"/>
      <c r="M766" s="22"/>
      <c r="N766" s="2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8" x14ac:dyDescent="0.35">
      <c r="A767" s="1"/>
      <c r="B767" s="19"/>
      <c r="C767" s="20"/>
      <c r="D767" s="21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8" x14ac:dyDescent="0.35">
      <c r="A768" s="1"/>
      <c r="B768" s="19"/>
      <c r="C768" s="20"/>
      <c r="D768" s="21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8" x14ac:dyDescent="0.35">
      <c r="A769" s="1"/>
      <c r="B769" s="19"/>
      <c r="C769" s="20"/>
      <c r="D769" s="21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8" x14ac:dyDescent="0.35">
      <c r="A770" s="1"/>
      <c r="B770" s="19"/>
      <c r="C770" s="20"/>
      <c r="D770" s="21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8" x14ac:dyDescent="0.35">
      <c r="A771" s="1"/>
      <c r="B771" s="19"/>
      <c r="C771" s="20"/>
      <c r="D771" s="21"/>
      <c r="E771" s="21"/>
      <c r="F771" s="22"/>
      <c r="G771" s="22"/>
      <c r="H771" s="22"/>
      <c r="I771" s="22"/>
      <c r="J771" s="22"/>
      <c r="K771" s="22"/>
      <c r="L771" s="22"/>
      <c r="M771" s="22"/>
      <c r="N771" s="2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8" x14ac:dyDescent="0.35">
      <c r="A772" s="1"/>
      <c r="B772" s="19"/>
      <c r="C772" s="20"/>
      <c r="D772" s="21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8" x14ac:dyDescent="0.35">
      <c r="A773" s="1"/>
      <c r="B773" s="19"/>
      <c r="C773" s="20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8" x14ac:dyDescent="0.35">
      <c r="A774" s="1"/>
      <c r="B774" s="19"/>
      <c r="C774" s="20"/>
      <c r="D774" s="21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8" x14ac:dyDescent="0.35">
      <c r="A775" s="1"/>
      <c r="B775" s="19"/>
      <c r="C775" s="20"/>
      <c r="D775" s="21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8" x14ac:dyDescent="0.35">
      <c r="A776" s="1"/>
      <c r="B776" s="19"/>
      <c r="C776" s="20"/>
      <c r="D776" s="21"/>
      <c r="E776" s="21"/>
      <c r="F776" s="22"/>
      <c r="G776" s="22"/>
      <c r="H776" s="22"/>
      <c r="I776" s="22"/>
      <c r="J776" s="22"/>
      <c r="K776" s="22"/>
      <c r="L776" s="22"/>
      <c r="M776" s="22"/>
      <c r="N776" s="2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8" x14ac:dyDescent="0.35">
      <c r="A777" s="1"/>
      <c r="B777" s="19"/>
      <c r="C777" s="20"/>
      <c r="D777" s="21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8" x14ac:dyDescent="0.35">
      <c r="A778" s="1"/>
      <c r="B778" s="19"/>
      <c r="C778" s="20"/>
      <c r="D778" s="21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8" x14ac:dyDescent="0.35">
      <c r="A779" s="1"/>
      <c r="B779" s="19"/>
      <c r="C779" s="20"/>
      <c r="D779" s="21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8" x14ac:dyDescent="0.35">
      <c r="A780" s="1"/>
      <c r="B780" s="19"/>
      <c r="C780" s="20"/>
      <c r="D780" s="21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8" x14ac:dyDescent="0.35">
      <c r="A781" s="1"/>
      <c r="B781" s="19"/>
      <c r="C781" s="20"/>
      <c r="D781" s="21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8" x14ac:dyDescent="0.35">
      <c r="A782" s="1"/>
      <c r="B782" s="19"/>
      <c r="C782" s="20"/>
      <c r="D782" s="21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8" x14ac:dyDescent="0.35">
      <c r="A783" s="1"/>
      <c r="B783" s="19"/>
      <c r="C783" s="20"/>
      <c r="D783" s="21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8" x14ac:dyDescent="0.35">
      <c r="A784" s="1"/>
      <c r="B784" s="19"/>
      <c r="C784" s="20"/>
      <c r="D784" s="21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8" x14ac:dyDescent="0.35">
      <c r="A785" s="1"/>
      <c r="B785" s="19"/>
      <c r="C785" s="20"/>
      <c r="D785" s="21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8" x14ac:dyDescent="0.35">
      <c r="A786" s="1"/>
      <c r="B786" s="19"/>
      <c r="C786" s="20"/>
      <c r="D786" s="21"/>
      <c r="E786" s="21"/>
      <c r="F786" s="22"/>
      <c r="G786" s="22"/>
      <c r="H786" s="22"/>
      <c r="I786" s="22"/>
      <c r="J786" s="22"/>
      <c r="K786" s="22"/>
      <c r="L786" s="22"/>
      <c r="M786" s="22"/>
      <c r="N786" s="2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8" x14ac:dyDescent="0.35">
      <c r="A787" s="1"/>
      <c r="B787" s="19"/>
      <c r="C787" s="20"/>
      <c r="D787" s="21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8" x14ac:dyDescent="0.35">
      <c r="A788" s="1"/>
      <c r="B788" s="19"/>
      <c r="C788" s="20"/>
      <c r="D788" s="21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8" x14ac:dyDescent="0.35">
      <c r="A789" s="1"/>
      <c r="B789" s="19"/>
      <c r="C789" s="20"/>
      <c r="D789" s="21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8" x14ac:dyDescent="0.35">
      <c r="A790" s="1"/>
      <c r="B790" s="19"/>
      <c r="C790" s="20"/>
      <c r="D790" s="21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8" x14ac:dyDescent="0.35">
      <c r="A791" s="1"/>
      <c r="B791" s="19"/>
      <c r="C791" s="20"/>
      <c r="D791" s="21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8" x14ac:dyDescent="0.35">
      <c r="A792" s="1"/>
      <c r="B792" s="19"/>
      <c r="C792" s="20"/>
      <c r="D792" s="21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8" x14ac:dyDescent="0.35">
      <c r="A793" s="1"/>
      <c r="B793" s="19"/>
      <c r="C793" s="20"/>
      <c r="D793" s="21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8" x14ac:dyDescent="0.35">
      <c r="A794" s="1"/>
      <c r="B794" s="19"/>
      <c r="C794" s="20"/>
      <c r="D794" s="21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8" x14ac:dyDescent="0.35">
      <c r="A795" s="1"/>
      <c r="B795" s="19"/>
      <c r="C795" s="20"/>
      <c r="D795" s="21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8" x14ac:dyDescent="0.35">
      <c r="A796" s="1"/>
      <c r="B796" s="19"/>
      <c r="C796" s="20"/>
      <c r="D796" s="21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8" x14ac:dyDescent="0.35">
      <c r="A797" s="1"/>
      <c r="B797" s="19"/>
      <c r="C797" s="20"/>
      <c r="D797" s="21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8" x14ac:dyDescent="0.35">
      <c r="A798" s="1"/>
      <c r="B798" s="19"/>
      <c r="C798" s="20"/>
      <c r="D798" s="21"/>
      <c r="E798" s="21"/>
      <c r="F798" s="22"/>
      <c r="G798" s="22"/>
      <c r="H798" s="22"/>
      <c r="I798" s="22"/>
      <c r="J798" s="22"/>
      <c r="K798" s="22"/>
      <c r="L798" s="22"/>
      <c r="M798" s="22"/>
      <c r="N798" s="2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8" x14ac:dyDescent="0.35">
      <c r="A799" s="1"/>
      <c r="B799" s="19"/>
      <c r="C799" s="20"/>
      <c r="D799" s="21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8" x14ac:dyDescent="0.35">
      <c r="A800" s="1"/>
      <c r="B800" s="19"/>
      <c r="C800" s="20"/>
      <c r="D800" s="21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8" x14ac:dyDescent="0.35">
      <c r="A801" s="1"/>
      <c r="B801" s="19"/>
      <c r="C801" s="20"/>
      <c r="D801" s="21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8" x14ac:dyDescent="0.35">
      <c r="A802" s="1"/>
      <c r="B802" s="19"/>
      <c r="C802" s="20"/>
      <c r="D802" s="21"/>
      <c r="E802" s="21"/>
      <c r="F802" s="22"/>
      <c r="G802" s="22"/>
      <c r="H802" s="22"/>
      <c r="I802" s="22"/>
      <c r="J802" s="22"/>
      <c r="K802" s="22"/>
      <c r="L802" s="22"/>
      <c r="M802" s="22"/>
      <c r="N802" s="2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8" x14ac:dyDescent="0.35">
      <c r="A803" s="1"/>
      <c r="B803" s="19"/>
      <c r="C803" s="20"/>
      <c r="D803" s="21"/>
      <c r="E803" s="21"/>
      <c r="F803" s="22"/>
      <c r="G803" s="22"/>
      <c r="H803" s="22"/>
      <c r="I803" s="22"/>
      <c r="J803" s="22"/>
      <c r="K803" s="22"/>
      <c r="L803" s="22"/>
      <c r="M803" s="22"/>
      <c r="N803" s="2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8" x14ac:dyDescent="0.35">
      <c r="A804" s="1"/>
      <c r="B804" s="19"/>
      <c r="C804" s="20"/>
      <c r="D804" s="21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8" x14ac:dyDescent="0.35">
      <c r="A805" s="1"/>
      <c r="B805" s="19"/>
      <c r="C805" s="20"/>
      <c r="D805" s="21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8" x14ac:dyDescent="0.35">
      <c r="A806" s="1"/>
      <c r="B806" s="19"/>
      <c r="C806" s="20"/>
      <c r="D806" s="21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8" x14ac:dyDescent="0.35">
      <c r="A807" s="1"/>
      <c r="B807" s="19"/>
      <c r="C807" s="20"/>
      <c r="D807" s="21"/>
      <c r="E807" s="21"/>
      <c r="F807" s="22"/>
      <c r="G807" s="22"/>
      <c r="H807" s="22"/>
      <c r="I807" s="22"/>
      <c r="J807" s="22"/>
      <c r="K807" s="22"/>
      <c r="L807" s="22"/>
      <c r="M807" s="22"/>
      <c r="N807" s="2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8" x14ac:dyDescent="0.35">
      <c r="A808" s="1"/>
      <c r="B808" s="19"/>
      <c r="C808" s="20"/>
      <c r="D808" s="21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8" x14ac:dyDescent="0.35">
      <c r="A809" s="1"/>
      <c r="B809" s="19"/>
      <c r="C809" s="20"/>
      <c r="D809" s="21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8" x14ac:dyDescent="0.35">
      <c r="A810" s="1"/>
      <c r="B810" s="19"/>
      <c r="C810" s="20"/>
      <c r="D810" s="21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8" x14ac:dyDescent="0.35">
      <c r="A811" s="1"/>
      <c r="B811" s="19"/>
      <c r="C811" s="20"/>
      <c r="D811" s="21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8" x14ac:dyDescent="0.35">
      <c r="A812" s="1"/>
      <c r="B812" s="19"/>
      <c r="C812" s="20"/>
      <c r="D812" s="21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8" x14ac:dyDescent="0.35">
      <c r="A813" s="1"/>
      <c r="B813" s="19"/>
      <c r="C813" s="20"/>
      <c r="D813" s="21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8" x14ac:dyDescent="0.35">
      <c r="A814" s="1"/>
      <c r="B814" s="19"/>
      <c r="C814" s="20"/>
      <c r="D814" s="21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8" x14ac:dyDescent="0.35">
      <c r="A815" s="1"/>
      <c r="B815" s="19"/>
      <c r="C815" s="20"/>
      <c r="D815" s="21"/>
      <c r="E815" s="21"/>
      <c r="F815" s="22"/>
      <c r="G815" s="22"/>
      <c r="H815" s="22"/>
      <c r="I815" s="22"/>
      <c r="J815" s="22"/>
      <c r="K815" s="22"/>
      <c r="L815" s="22"/>
      <c r="M815" s="22"/>
      <c r="N815" s="2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8" x14ac:dyDescent="0.35">
      <c r="A816" s="1"/>
      <c r="B816" s="19"/>
      <c r="C816" s="20"/>
      <c r="D816" s="21"/>
      <c r="E816" s="21"/>
      <c r="F816" s="22"/>
      <c r="G816" s="22"/>
      <c r="H816" s="22"/>
      <c r="I816" s="22"/>
      <c r="J816" s="22"/>
      <c r="K816" s="22"/>
      <c r="L816" s="22"/>
      <c r="M816" s="22"/>
      <c r="N816" s="2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8" x14ac:dyDescent="0.35">
      <c r="A817" s="1"/>
      <c r="B817" s="19"/>
      <c r="C817" s="20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8" x14ac:dyDescent="0.35">
      <c r="A818" s="1"/>
      <c r="B818" s="19"/>
      <c r="C818" s="20"/>
      <c r="D818" s="21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8" x14ac:dyDescent="0.35">
      <c r="A819" s="1"/>
      <c r="B819" s="19"/>
      <c r="C819" s="20"/>
      <c r="D819" s="21"/>
      <c r="E819" s="21"/>
      <c r="F819" s="22"/>
      <c r="G819" s="22"/>
      <c r="H819" s="22"/>
      <c r="I819" s="22"/>
      <c r="J819" s="22"/>
      <c r="K819" s="22"/>
      <c r="L819" s="22"/>
      <c r="M819" s="22"/>
      <c r="N819" s="2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8" x14ac:dyDescent="0.35">
      <c r="A820" s="1"/>
      <c r="B820" s="19"/>
      <c r="C820" s="20"/>
      <c r="D820" s="21"/>
      <c r="E820" s="21"/>
      <c r="F820" s="22"/>
      <c r="G820" s="22"/>
      <c r="H820" s="22"/>
      <c r="I820" s="22"/>
      <c r="J820" s="22"/>
      <c r="K820" s="22"/>
      <c r="L820" s="22"/>
      <c r="M820" s="22"/>
      <c r="N820" s="2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8" x14ac:dyDescent="0.35">
      <c r="A821" s="1"/>
      <c r="B821" s="19"/>
      <c r="C821" s="20"/>
      <c r="D821" s="21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8" x14ac:dyDescent="0.35">
      <c r="A822" s="1"/>
      <c r="B822" s="19"/>
      <c r="C822" s="20"/>
      <c r="D822" s="21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8" x14ac:dyDescent="0.35">
      <c r="A823" s="1"/>
      <c r="B823" s="19"/>
      <c r="C823" s="20"/>
      <c r="D823" s="21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8" x14ac:dyDescent="0.35">
      <c r="A824" s="1"/>
      <c r="B824" s="19"/>
      <c r="C824" s="20"/>
      <c r="D824" s="21"/>
      <c r="E824" s="21"/>
      <c r="F824" s="22"/>
      <c r="G824" s="22"/>
      <c r="H824" s="22"/>
      <c r="I824" s="22"/>
      <c r="J824" s="22"/>
      <c r="K824" s="22"/>
      <c r="L824" s="22"/>
      <c r="M824" s="22"/>
      <c r="N824" s="2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8" x14ac:dyDescent="0.35">
      <c r="A825" s="1"/>
      <c r="B825" s="19"/>
      <c r="C825" s="20"/>
      <c r="D825" s="21"/>
      <c r="E825" s="21"/>
      <c r="F825" s="22"/>
      <c r="G825" s="22"/>
      <c r="H825" s="22"/>
      <c r="I825" s="22"/>
      <c r="J825" s="22"/>
      <c r="K825" s="22"/>
      <c r="L825" s="22"/>
      <c r="M825" s="22"/>
      <c r="N825" s="2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8" x14ac:dyDescent="0.35">
      <c r="A826" s="1"/>
      <c r="B826" s="19"/>
      <c r="C826" s="20"/>
      <c r="D826" s="21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8" x14ac:dyDescent="0.35">
      <c r="A827" s="1"/>
      <c r="B827" s="19"/>
      <c r="C827" s="20"/>
      <c r="D827" s="21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8" x14ac:dyDescent="0.35">
      <c r="A828" s="1"/>
      <c r="B828" s="19"/>
      <c r="C828" s="20"/>
      <c r="D828" s="21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8" x14ac:dyDescent="0.35">
      <c r="A829" s="1"/>
      <c r="B829" s="19"/>
      <c r="C829" s="20"/>
      <c r="D829" s="21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8" x14ac:dyDescent="0.35">
      <c r="A830" s="1"/>
      <c r="B830" s="19"/>
      <c r="C830" s="20"/>
      <c r="D830" s="21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8" x14ac:dyDescent="0.35">
      <c r="A831" s="1"/>
      <c r="B831" s="19"/>
      <c r="C831" s="20"/>
      <c r="D831" s="21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8" x14ac:dyDescent="0.35">
      <c r="A832" s="1"/>
      <c r="B832" s="19"/>
      <c r="C832" s="20"/>
      <c r="D832" s="21"/>
      <c r="E832" s="21"/>
      <c r="F832" s="22"/>
      <c r="G832" s="22"/>
      <c r="H832" s="22"/>
      <c r="I832" s="22"/>
      <c r="J832" s="22"/>
      <c r="K832" s="22"/>
      <c r="L832" s="22"/>
      <c r="M832" s="22"/>
      <c r="N832" s="2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8" x14ac:dyDescent="0.35">
      <c r="A833" s="1"/>
      <c r="B833" s="19"/>
      <c r="C833" s="20"/>
      <c r="D833" s="21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8" x14ac:dyDescent="0.35">
      <c r="A834" s="1"/>
      <c r="B834" s="19"/>
      <c r="C834" s="20"/>
      <c r="D834" s="21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8" x14ac:dyDescent="0.35">
      <c r="A835" s="1"/>
      <c r="B835" s="19"/>
      <c r="C835" s="20"/>
      <c r="D835" s="21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8" x14ac:dyDescent="0.35">
      <c r="A836" s="1"/>
      <c r="B836" s="19"/>
      <c r="C836" s="20"/>
      <c r="D836" s="21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8" x14ac:dyDescent="0.35">
      <c r="A837" s="1"/>
      <c r="B837" s="19"/>
      <c r="C837" s="20"/>
      <c r="D837" s="21"/>
      <c r="E837" s="21"/>
      <c r="F837" s="22"/>
      <c r="G837" s="22"/>
      <c r="H837" s="22"/>
      <c r="I837" s="22"/>
      <c r="J837" s="22"/>
      <c r="K837" s="22"/>
      <c r="L837" s="22"/>
      <c r="M837" s="22"/>
      <c r="N837" s="2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8" x14ac:dyDescent="0.35">
      <c r="A838" s="1"/>
      <c r="B838" s="19"/>
      <c r="C838" s="20"/>
      <c r="D838" s="21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8" x14ac:dyDescent="0.35">
      <c r="A839" s="1"/>
      <c r="B839" s="19"/>
      <c r="C839" s="20"/>
      <c r="D839" s="21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8" x14ac:dyDescent="0.35">
      <c r="A840" s="1"/>
      <c r="B840" s="19"/>
      <c r="C840" s="20"/>
      <c r="D840" s="21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8" x14ac:dyDescent="0.35">
      <c r="A841" s="1"/>
      <c r="B841" s="19"/>
      <c r="C841" s="20"/>
      <c r="D841" s="21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8" x14ac:dyDescent="0.35">
      <c r="A842" s="1"/>
      <c r="B842" s="19"/>
      <c r="C842" s="20"/>
      <c r="D842" s="21"/>
      <c r="E842" s="21"/>
      <c r="F842" s="22"/>
      <c r="G842" s="22"/>
      <c r="H842" s="22"/>
      <c r="I842" s="22"/>
      <c r="J842" s="22"/>
      <c r="K842" s="22"/>
      <c r="L842" s="22"/>
      <c r="M842" s="22"/>
      <c r="N842" s="2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8" x14ac:dyDescent="0.35">
      <c r="A843" s="1"/>
      <c r="B843" s="19"/>
      <c r="C843" s="20"/>
      <c r="D843" s="21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8" x14ac:dyDescent="0.35">
      <c r="A844" s="1"/>
      <c r="B844" s="19"/>
      <c r="C844" s="20"/>
      <c r="D844" s="21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8" x14ac:dyDescent="0.35">
      <c r="A845" s="1"/>
      <c r="B845" s="19"/>
      <c r="C845" s="20"/>
      <c r="D845" s="21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8" x14ac:dyDescent="0.35">
      <c r="A846" s="1"/>
      <c r="B846" s="19"/>
      <c r="C846" s="20"/>
      <c r="D846" s="21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8" x14ac:dyDescent="0.35">
      <c r="A847" s="1"/>
      <c r="B847" s="19"/>
      <c r="C847" s="20"/>
      <c r="D847" s="21"/>
      <c r="E847" s="21"/>
      <c r="F847" s="22"/>
      <c r="G847" s="22"/>
      <c r="H847" s="22"/>
      <c r="I847" s="22"/>
      <c r="J847" s="22"/>
      <c r="K847" s="22"/>
      <c r="L847" s="22"/>
      <c r="M847" s="22"/>
      <c r="N847" s="2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8" x14ac:dyDescent="0.35">
      <c r="A848" s="1"/>
      <c r="B848" s="19"/>
      <c r="C848" s="20"/>
      <c r="D848" s="21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8" x14ac:dyDescent="0.35">
      <c r="A849" s="1"/>
      <c r="B849" s="19"/>
      <c r="C849" s="20"/>
      <c r="D849" s="21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8" x14ac:dyDescent="0.35">
      <c r="A850" s="1"/>
      <c r="B850" s="19"/>
      <c r="C850" s="20"/>
      <c r="D850" s="21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8" x14ac:dyDescent="0.35">
      <c r="A851" s="1"/>
      <c r="B851" s="19"/>
      <c r="C851" s="20"/>
      <c r="D851" s="21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8" x14ac:dyDescent="0.35">
      <c r="A852" s="1"/>
      <c r="B852" s="19"/>
      <c r="C852" s="20"/>
      <c r="D852" s="21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8" x14ac:dyDescent="0.35">
      <c r="A853" s="1"/>
      <c r="B853" s="19"/>
      <c r="C853" s="20"/>
      <c r="D853" s="21"/>
      <c r="E853" s="21"/>
      <c r="F853" s="22"/>
      <c r="G853" s="22"/>
      <c r="H853" s="22"/>
      <c r="I853" s="22"/>
      <c r="J853" s="22"/>
      <c r="K853" s="22"/>
      <c r="L853" s="22"/>
      <c r="M853" s="22"/>
      <c r="N853" s="2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8" x14ac:dyDescent="0.35">
      <c r="A854" s="1"/>
      <c r="B854" s="19"/>
      <c r="C854" s="20"/>
      <c r="D854" s="21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8" x14ac:dyDescent="0.35">
      <c r="A855" s="1"/>
      <c r="B855" s="19"/>
      <c r="C855" s="20"/>
      <c r="D855" s="21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8" x14ac:dyDescent="0.35">
      <c r="A856" s="1"/>
      <c r="B856" s="19"/>
      <c r="C856" s="20"/>
      <c r="D856" s="21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8" x14ac:dyDescent="0.35">
      <c r="A857" s="1"/>
      <c r="B857" s="19"/>
      <c r="C857" s="20"/>
      <c r="D857" s="21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8" x14ac:dyDescent="0.35">
      <c r="A858" s="1"/>
      <c r="B858" s="19"/>
      <c r="C858" s="20"/>
      <c r="D858" s="21"/>
      <c r="E858" s="21"/>
      <c r="F858" s="22"/>
      <c r="G858" s="22"/>
      <c r="H858" s="22"/>
      <c r="I858" s="22"/>
      <c r="J858" s="22"/>
      <c r="K858" s="22"/>
      <c r="L858" s="22"/>
      <c r="M858" s="22"/>
      <c r="N858" s="2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8" x14ac:dyDescent="0.35">
      <c r="A859" s="1"/>
      <c r="B859" s="19"/>
      <c r="C859" s="20"/>
      <c r="D859" s="21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8" x14ac:dyDescent="0.35">
      <c r="A860" s="1"/>
      <c r="B860" s="19"/>
      <c r="C860" s="20"/>
      <c r="D860" s="21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8" x14ac:dyDescent="0.35">
      <c r="A861" s="1"/>
      <c r="B861" s="19"/>
      <c r="C861" s="20"/>
      <c r="D861" s="21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8" x14ac:dyDescent="0.35">
      <c r="A862" s="1"/>
      <c r="B862" s="19"/>
      <c r="C862" s="20"/>
      <c r="D862" s="21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8" x14ac:dyDescent="0.35">
      <c r="A863" s="1"/>
      <c r="B863" s="19"/>
      <c r="C863" s="20"/>
      <c r="D863" s="21"/>
      <c r="E863" s="21"/>
      <c r="F863" s="22"/>
      <c r="G863" s="22"/>
      <c r="H863" s="22"/>
      <c r="I863" s="22"/>
      <c r="J863" s="22"/>
      <c r="K863" s="22"/>
      <c r="L863" s="22"/>
      <c r="M863" s="22"/>
      <c r="N863" s="2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8" x14ac:dyDescent="0.35">
      <c r="A864" s="1"/>
      <c r="B864" s="19"/>
      <c r="C864" s="20"/>
      <c r="D864" s="21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8" x14ac:dyDescent="0.35">
      <c r="A865" s="1"/>
      <c r="B865" s="19"/>
      <c r="C865" s="20"/>
      <c r="D865" s="21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8" x14ac:dyDescent="0.35">
      <c r="A866" s="1"/>
      <c r="B866" s="19"/>
      <c r="C866" s="20"/>
      <c r="D866" s="21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8" x14ac:dyDescent="0.35">
      <c r="A867" s="1"/>
      <c r="B867" s="19"/>
      <c r="C867" s="20"/>
      <c r="D867" s="21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8" x14ac:dyDescent="0.35">
      <c r="A868" s="1"/>
      <c r="B868" s="19"/>
      <c r="C868" s="20"/>
      <c r="D868" s="21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8" x14ac:dyDescent="0.35">
      <c r="A869" s="1"/>
      <c r="B869" s="19"/>
      <c r="C869" s="20"/>
      <c r="D869" s="21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8" x14ac:dyDescent="0.35">
      <c r="A870" s="1"/>
      <c r="B870" s="19"/>
      <c r="C870" s="20"/>
      <c r="D870" s="21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8" x14ac:dyDescent="0.35">
      <c r="A871" s="1"/>
      <c r="B871" s="19"/>
      <c r="C871" s="20"/>
      <c r="D871" s="21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8" x14ac:dyDescent="0.35">
      <c r="A872" s="1"/>
      <c r="B872" s="19"/>
      <c r="C872" s="20"/>
      <c r="D872" s="21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8" x14ac:dyDescent="0.35">
      <c r="A873" s="1"/>
      <c r="B873" s="19"/>
      <c r="C873" s="20"/>
      <c r="D873" s="21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8" x14ac:dyDescent="0.35">
      <c r="A874" s="1"/>
      <c r="B874" s="19"/>
      <c r="C874" s="20"/>
      <c r="D874" s="21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8" x14ac:dyDescent="0.35">
      <c r="A875" s="1"/>
      <c r="B875" s="19"/>
      <c r="C875" s="20"/>
      <c r="D875" s="21"/>
      <c r="E875" s="21"/>
      <c r="F875" s="22"/>
      <c r="G875" s="22"/>
      <c r="H875" s="22"/>
      <c r="I875" s="22"/>
      <c r="J875" s="22"/>
      <c r="K875" s="22"/>
      <c r="L875" s="22"/>
      <c r="M875" s="22"/>
      <c r="N875" s="2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8" x14ac:dyDescent="0.35">
      <c r="A876" s="1"/>
      <c r="B876" s="19"/>
      <c r="C876" s="20"/>
      <c r="D876" s="21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8" x14ac:dyDescent="0.35">
      <c r="A877" s="1"/>
      <c r="B877" s="19"/>
      <c r="C877" s="20"/>
      <c r="D877" s="21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8" x14ac:dyDescent="0.35">
      <c r="A878" s="1"/>
      <c r="B878" s="19"/>
      <c r="C878" s="20"/>
      <c r="D878" s="21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8" x14ac:dyDescent="0.35">
      <c r="A879" s="1"/>
      <c r="B879" s="19"/>
      <c r="C879" s="20"/>
      <c r="D879" s="21"/>
      <c r="E879" s="21"/>
      <c r="F879" s="22"/>
      <c r="G879" s="22"/>
      <c r="H879" s="22"/>
      <c r="I879" s="22"/>
      <c r="J879" s="22"/>
      <c r="K879" s="22"/>
      <c r="L879" s="22"/>
      <c r="M879" s="22"/>
      <c r="N879" s="2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8" x14ac:dyDescent="0.35">
      <c r="A880" s="1"/>
      <c r="B880" s="19"/>
      <c r="C880" s="20"/>
      <c r="D880" s="21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8" x14ac:dyDescent="0.35">
      <c r="A881" s="1"/>
      <c r="B881" s="19"/>
      <c r="C881" s="20"/>
      <c r="D881" s="21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8" x14ac:dyDescent="0.35">
      <c r="A882" s="1"/>
      <c r="B882" s="19"/>
      <c r="C882" s="20"/>
      <c r="D882" s="21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8" x14ac:dyDescent="0.35">
      <c r="A883" s="1"/>
      <c r="B883" s="19"/>
      <c r="C883" s="20"/>
      <c r="D883" s="21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8" x14ac:dyDescent="0.35">
      <c r="A884" s="1"/>
      <c r="B884" s="19"/>
      <c r="C884" s="20"/>
      <c r="D884" s="21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8" x14ac:dyDescent="0.35">
      <c r="A885" s="1"/>
      <c r="B885" s="19"/>
      <c r="C885" s="20"/>
      <c r="D885" s="21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8" x14ac:dyDescent="0.35">
      <c r="A886" s="1"/>
      <c r="B886" s="19"/>
      <c r="C886" s="20"/>
      <c r="D886" s="21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8" x14ac:dyDescent="0.35">
      <c r="A887" s="1"/>
      <c r="B887" s="19"/>
      <c r="C887" s="20"/>
      <c r="D887" s="21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8" x14ac:dyDescent="0.35">
      <c r="A888" s="1"/>
      <c r="B888" s="19"/>
      <c r="C888" s="20"/>
      <c r="D888" s="21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8" x14ac:dyDescent="0.35">
      <c r="A889" s="1"/>
      <c r="B889" s="19"/>
      <c r="C889" s="20"/>
      <c r="D889" s="21"/>
      <c r="E889" s="21"/>
      <c r="F889" s="22"/>
      <c r="G889" s="22"/>
      <c r="H889" s="22"/>
      <c r="I889" s="22"/>
      <c r="J889" s="22"/>
      <c r="K889" s="22"/>
      <c r="L889" s="22"/>
      <c r="M889" s="22"/>
      <c r="N889" s="2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8" x14ac:dyDescent="0.35">
      <c r="A890" s="1"/>
      <c r="B890" s="19"/>
      <c r="C890" s="20"/>
      <c r="D890" s="21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8" x14ac:dyDescent="0.35">
      <c r="A891" s="1"/>
      <c r="B891" s="19"/>
      <c r="C891" s="20"/>
      <c r="D891" s="21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8" x14ac:dyDescent="0.35">
      <c r="A892" s="1"/>
      <c r="B892" s="19"/>
      <c r="C892" s="20"/>
      <c r="D892" s="21"/>
      <c r="E892" s="21"/>
      <c r="F892" s="22"/>
      <c r="G892" s="22"/>
      <c r="H892" s="22"/>
      <c r="I892" s="22"/>
      <c r="J892" s="22"/>
      <c r="K892" s="22"/>
      <c r="L892" s="22"/>
      <c r="M892" s="22"/>
      <c r="N892" s="2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8" x14ac:dyDescent="0.35">
      <c r="A893" s="1"/>
      <c r="B893" s="19"/>
      <c r="C893" s="20"/>
      <c r="D893" s="21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8" x14ac:dyDescent="0.35">
      <c r="A894" s="1"/>
      <c r="B894" s="19"/>
      <c r="C894" s="20"/>
      <c r="D894" s="21"/>
      <c r="E894" s="21"/>
      <c r="F894" s="22"/>
      <c r="G894" s="22"/>
      <c r="H894" s="22"/>
      <c r="I894" s="22"/>
      <c r="J894" s="22"/>
      <c r="K894" s="22"/>
      <c r="L894" s="22"/>
      <c r="M894" s="22"/>
      <c r="N894" s="2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8" x14ac:dyDescent="0.35">
      <c r="A895" s="1"/>
      <c r="B895" s="19"/>
      <c r="C895" s="20"/>
      <c r="D895" s="21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8" x14ac:dyDescent="0.35">
      <c r="A896" s="1"/>
      <c r="B896" s="19"/>
      <c r="C896" s="20"/>
      <c r="D896" s="21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8" x14ac:dyDescent="0.35">
      <c r="A897" s="1"/>
      <c r="B897" s="19"/>
      <c r="C897" s="20"/>
      <c r="D897" s="21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8" x14ac:dyDescent="0.35">
      <c r="A898" s="1"/>
      <c r="B898" s="19"/>
      <c r="C898" s="20"/>
      <c r="D898" s="21"/>
      <c r="E898" s="21"/>
      <c r="F898" s="22"/>
      <c r="G898" s="22"/>
      <c r="H898" s="22"/>
      <c r="I898" s="22"/>
      <c r="J898" s="22"/>
      <c r="K898" s="22"/>
      <c r="L898" s="22"/>
      <c r="M898" s="22"/>
      <c r="N898" s="2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8" x14ac:dyDescent="0.35">
      <c r="A899" s="1"/>
      <c r="B899" s="19"/>
      <c r="C899" s="20"/>
      <c r="D899" s="21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8" x14ac:dyDescent="0.35">
      <c r="A900" s="1"/>
      <c r="B900" s="19"/>
      <c r="C900" s="20"/>
      <c r="D900" s="21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8" x14ac:dyDescent="0.35">
      <c r="A901" s="1"/>
      <c r="B901" s="19"/>
      <c r="C901" s="20"/>
      <c r="D901" s="21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8" x14ac:dyDescent="0.35">
      <c r="A902" s="1"/>
      <c r="B902" s="19"/>
      <c r="C902" s="20"/>
      <c r="D902" s="21"/>
      <c r="E902" s="21"/>
      <c r="F902" s="22"/>
      <c r="G902" s="22"/>
      <c r="H902" s="22"/>
      <c r="I902" s="22"/>
      <c r="J902" s="22"/>
      <c r="K902" s="22"/>
      <c r="L902" s="22"/>
      <c r="M902" s="22"/>
      <c r="N902" s="2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8" x14ac:dyDescent="0.35">
      <c r="A903" s="1"/>
      <c r="B903" s="19"/>
      <c r="C903" s="20"/>
      <c r="D903" s="21"/>
      <c r="E903" s="21"/>
      <c r="F903" s="22"/>
      <c r="G903" s="22"/>
      <c r="H903" s="22"/>
      <c r="I903" s="22"/>
      <c r="J903" s="22"/>
      <c r="K903" s="22"/>
      <c r="L903" s="22"/>
      <c r="M903" s="22"/>
      <c r="N903" s="2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8" x14ac:dyDescent="0.35">
      <c r="A904" s="1"/>
      <c r="B904" s="19"/>
      <c r="C904" s="20"/>
      <c r="D904" s="21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8" x14ac:dyDescent="0.35">
      <c r="A905" s="1"/>
      <c r="B905" s="19"/>
      <c r="C905" s="20"/>
      <c r="D905" s="21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8" x14ac:dyDescent="0.35">
      <c r="A906" s="1"/>
      <c r="B906" s="19"/>
      <c r="C906" s="20"/>
      <c r="D906" s="21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8" x14ac:dyDescent="0.35">
      <c r="A907" s="1"/>
      <c r="B907" s="19"/>
      <c r="C907" s="20"/>
      <c r="D907" s="21"/>
      <c r="E907" s="21"/>
      <c r="F907" s="22"/>
      <c r="G907" s="22"/>
      <c r="H907" s="22"/>
      <c r="I907" s="22"/>
      <c r="J907" s="22"/>
      <c r="K907" s="22"/>
      <c r="L907" s="22"/>
      <c r="M907" s="22"/>
      <c r="N907" s="2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8" x14ac:dyDescent="0.35">
      <c r="A908" s="1"/>
      <c r="B908" s="19"/>
      <c r="C908" s="20"/>
      <c r="D908" s="21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8" x14ac:dyDescent="0.35">
      <c r="A909" s="1"/>
      <c r="B909" s="19"/>
      <c r="C909" s="20"/>
      <c r="D909" s="21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8" x14ac:dyDescent="0.35">
      <c r="A910" s="1"/>
      <c r="B910" s="19"/>
      <c r="C910" s="20"/>
      <c r="D910" s="21"/>
      <c r="E910" s="21"/>
      <c r="F910" s="22"/>
      <c r="G910" s="22"/>
      <c r="H910" s="22"/>
      <c r="I910" s="22"/>
      <c r="J910" s="22"/>
      <c r="K910" s="22"/>
      <c r="L910" s="22"/>
      <c r="M910" s="22"/>
      <c r="N910" s="2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8" x14ac:dyDescent="0.35">
      <c r="A911" s="1"/>
      <c r="B911" s="19"/>
      <c r="C911" s="20"/>
      <c r="D911" s="21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8" x14ac:dyDescent="0.35">
      <c r="A912" s="1"/>
      <c r="B912" s="19"/>
      <c r="C912" s="20"/>
      <c r="D912" s="21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8" x14ac:dyDescent="0.35">
      <c r="A913" s="1"/>
      <c r="B913" s="19"/>
      <c r="C913" s="20"/>
      <c r="D913" s="21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8" x14ac:dyDescent="0.35">
      <c r="A914" s="1"/>
      <c r="B914" s="19"/>
      <c r="C914" s="20"/>
      <c r="D914" s="21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8" x14ac:dyDescent="0.35">
      <c r="A915" s="1"/>
      <c r="B915" s="19"/>
      <c r="C915" s="20"/>
      <c r="D915" s="21"/>
      <c r="E915" s="21"/>
      <c r="F915" s="22"/>
      <c r="G915" s="22"/>
      <c r="H915" s="22"/>
      <c r="I915" s="22"/>
      <c r="J915" s="22"/>
      <c r="K915" s="22"/>
      <c r="L915" s="22"/>
      <c r="M915" s="22"/>
      <c r="N915" s="2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8" x14ac:dyDescent="0.35">
      <c r="A916" s="1"/>
      <c r="B916" s="19"/>
      <c r="C916" s="20"/>
      <c r="D916" s="21"/>
      <c r="E916" s="21"/>
      <c r="F916" s="22"/>
      <c r="G916" s="22"/>
      <c r="H916" s="22"/>
      <c r="I916" s="22"/>
      <c r="J916" s="22"/>
      <c r="K916" s="22"/>
      <c r="L916" s="22"/>
      <c r="M916" s="22"/>
      <c r="N916" s="2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8" x14ac:dyDescent="0.35">
      <c r="A917" s="1"/>
      <c r="B917" s="19"/>
      <c r="C917" s="20"/>
      <c r="D917" s="21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8" x14ac:dyDescent="0.35">
      <c r="A918" s="1"/>
      <c r="B918" s="19"/>
      <c r="C918" s="20"/>
      <c r="D918" s="21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8" x14ac:dyDescent="0.35">
      <c r="A919" s="1"/>
      <c r="B919" s="19"/>
      <c r="C919" s="20"/>
      <c r="D919" s="21"/>
      <c r="E919" s="21"/>
      <c r="F919" s="22"/>
      <c r="G919" s="22"/>
      <c r="H919" s="22"/>
      <c r="I919" s="22"/>
      <c r="J919" s="22"/>
      <c r="K919" s="22"/>
      <c r="L919" s="22"/>
      <c r="M919" s="22"/>
      <c r="N919" s="2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8" x14ac:dyDescent="0.35">
      <c r="A920" s="1"/>
      <c r="B920" s="19"/>
      <c r="C920" s="20"/>
      <c r="D920" s="21"/>
      <c r="E920" s="21"/>
      <c r="F920" s="22"/>
      <c r="G920" s="22"/>
      <c r="H920" s="22"/>
      <c r="I920" s="22"/>
      <c r="J920" s="22"/>
      <c r="K920" s="22"/>
      <c r="L920" s="22"/>
      <c r="M920" s="22"/>
      <c r="N920" s="2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8" x14ac:dyDescent="0.35">
      <c r="A921" s="1"/>
      <c r="B921" s="19"/>
      <c r="C921" s="20"/>
      <c r="D921" s="21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8" x14ac:dyDescent="0.35">
      <c r="A922" s="1"/>
      <c r="B922" s="19"/>
      <c r="C922" s="20"/>
      <c r="D922" s="21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8" x14ac:dyDescent="0.35">
      <c r="A923" s="1"/>
      <c r="B923" s="19"/>
      <c r="C923" s="20"/>
      <c r="D923" s="21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8" x14ac:dyDescent="0.35">
      <c r="A924" s="1"/>
      <c r="B924" s="19"/>
      <c r="C924" s="20"/>
      <c r="D924" s="21"/>
      <c r="E924" s="21"/>
      <c r="F924" s="22"/>
      <c r="G924" s="22"/>
      <c r="H924" s="22"/>
      <c r="I924" s="22"/>
      <c r="J924" s="22"/>
      <c r="K924" s="22"/>
      <c r="L924" s="22"/>
      <c r="M924" s="22"/>
      <c r="N924" s="2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8" x14ac:dyDescent="0.35">
      <c r="A925" s="1"/>
      <c r="B925" s="19"/>
      <c r="C925" s="20"/>
      <c r="D925" s="21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8" x14ac:dyDescent="0.35">
      <c r="A926" s="1"/>
      <c r="B926" s="19"/>
      <c r="C926" s="20"/>
      <c r="D926" s="21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8" x14ac:dyDescent="0.35">
      <c r="A927" s="1"/>
      <c r="B927" s="19"/>
      <c r="C927" s="20"/>
      <c r="D927" s="21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8" x14ac:dyDescent="0.35">
      <c r="A928" s="1"/>
      <c r="B928" s="19"/>
      <c r="C928" s="20"/>
      <c r="D928" s="21"/>
      <c r="E928" s="21"/>
      <c r="F928" s="22"/>
      <c r="G928" s="22"/>
      <c r="H928" s="22"/>
      <c r="I928" s="22"/>
      <c r="J928" s="22"/>
      <c r="K928" s="22"/>
      <c r="L928" s="22"/>
      <c r="M928" s="22"/>
      <c r="N928" s="2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8" x14ac:dyDescent="0.35">
      <c r="A929" s="1"/>
      <c r="B929" s="19"/>
      <c r="C929" s="20"/>
      <c r="D929" s="21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8" x14ac:dyDescent="0.35">
      <c r="A930" s="1"/>
      <c r="B930" s="19"/>
      <c r="C930" s="20"/>
      <c r="D930" s="21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8" x14ac:dyDescent="0.35">
      <c r="A931" s="1"/>
      <c r="B931" s="19"/>
      <c r="C931" s="20"/>
      <c r="D931" s="21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8" x14ac:dyDescent="0.35">
      <c r="A932" s="1"/>
      <c r="B932" s="19"/>
      <c r="C932" s="20"/>
      <c r="D932" s="21"/>
      <c r="E932" s="21"/>
      <c r="F932" s="22"/>
      <c r="G932" s="22"/>
      <c r="H932" s="22"/>
      <c r="I932" s="22"/>
      <c r="J932" s="22"/>
      <c r="K932" s="22"/>
      <c r="L932" s="22"/>
      <c r="M932" s="22"/>
      <c r="N932" s="2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8" x14ac:dyDescent="0.35">
      <c r="A933" s="1"/>
      <c r="B933" s="19"/>
      <c r="C933" s="20"/>
      <c r="D933" s="21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8" x14ac:dyDescent="0.35">
      <c r="A934" s="1"/>
      <c r="B934" s="19"/>
      <c r="C934" s="20"/>
      <c r="D934" s="21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8" x14ac:dyDescent="0.35">
      <c r="A935" s="1"/>
      <c r="B935" s="19"/>
      <c r="C935" s="20"/>
      <c r="D935" s="21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8" x14ac:dyDescent="0.35">
      <c r="A936" s="1"/>
      <c r="B936" s="19"/>
      <c r="C936" s="20"/>
      <c r="D936" s="21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8" x14ac:dyDescent="0.35">
      <c r="A937" s="1"/>
      <c r="B937" s="19"/>
      <c r="C937" s="20"/>
      <c r="D937" s="21"/>
      <c r="E937" s="21"/>
      <c r="F937" s="22"/>
      <c r="G937" s="22"/>
      <c r="H937" s="22"/>
      <c r="I937" s="22"/>
      <c r="J937" s="22"/>
      <c r="K937" s="22"/>
      <c r="L937" s="22"/>
      <c r="M937" s="22"/>
      <c r="N937" s="2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8" x14ac:dyDescent="0.35">
      <c r="A938" s="1"/>
      <c r="B938" s="19"/>
      <c r="C938" s="20"/>
      <c r="D938" s="21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8" x14ac:dyDescent="0.35">
      <c r="A939" s="1"/>
      <c r="B939" s="19"/>
      <c r="C939" s="20"/>
      <c r="D939" s="21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8" x14ac:dyDescent="0.35">
      <c r="A940" s="1"/>
      <c r="B940" s="19"/>
      <c r="C940" s="20"/>
      <c r="D940" s="21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8" x14ac:dyDescent="0.35">
      <c r="A941" s="1"/>
      <c r="B941" s="19"/>
      <c r="C941" s="20"/>
      <c r="D941" s="21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8" x14ac:dyDescent="0.35">
      <c r="A942" s="1"/>
      <c r="B942" s="19"/>
      <c r="C942" s="20"/>
      <c r="D942" s="21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8" x14ac:dyDescent="0.35">
      <c r="A943" s="1"/>
      <c r="B943" s="19"/>
      <c r="C943" s="20"/>
      <c r="D943" s="21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8" x14ac:dyDescent="0.35">
      <c r="A944" s="1"/>
      <c r="B944" s="19"/>
      <c r="C944" s="20"/>
      <c r="D944" s="21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8" x14ac:dyDescent="0.35">
      <c r="A945" s="1"/>
      <c r="B945" s="19"/>
      <c r="C945" s="20"/>
      <c r="D945" s="21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8" x14ac:dyDescent="0.35">
      <c r="A946" s="1"/>
      <c r="B946" s="19"/>
      <c r="C946" s="20"/>
      <c r="D946" s="21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8" x14ac:dyDescent="0.35">
      <c r="A947" s="1"/>
      <c r="B947" s="19"/>
      <c r="C947" s="20"/>
      <c r="D947" s="21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8" x14ac:dyDescent="0.35">
      <c r="A948" s="1"/>
      <c r="B948" s="19"/>
      <c r="C948" s="20"/>
      <c r="D948" s="21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8" x14ac:dyDescent="0.35">
      <c r="A949" s="1"/>
      <c r="B949" s="19"/>
      <c r="C949" s="20"/>
      <c r="D949" s="21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8" x14ac:dyDescent="0.35">
      <c r="A950" s="1"/>
      <c r="B950" s="19"/>
      <c r="C950" s="20"/>
      <c r="D950" s="21"/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8" x14ac:dyDescent="0.35">
      <c r="A951" s="1"/>
      <c r="B951" s="19"/>
      <c r="C951" s="20"/>
      <c r="D951" s="21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8" x14ac:dyDescent="0.35">
      <c r="A952" s="1"/>
      <c r="B952" s="19"/>
      <c r="C952" s="20"/>
      <c r="D952" s="21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8" x14ac:dyDescent="0.35">
      <c r="A953" s="1"/>
      <c r="B953" s="19"/>
      <c r="C953" s="20"/>
      <c r="D953" s="21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8" x14ac:dyDescent="0.35">
      <c r="A954" s="1"/>
      <c r="B954" s="19"/>
      <c r="C954" s="20"/>
      <c r="D954" s="21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8" x14ac:dyDescent="0.35">
      <c r="A955" s="1"/>
      <c r="B955" s="19"/>
      <c r="C955" s="20"/>
      <c r="D955" s="21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8" x14ac:dyDescent="0.35">
      <c r="A956" s="1"/>
      <c r="B956" s="19"/>
      <c r="C956" s="20"/>
      <c r="D956" s="21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8" x14ac:dyDescent="0.35">
      <c r="A957" s="1"/>
      <c r="B957" s="19"/>
      <c r="C957" s="20"/>
      <c r="D957" s="21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8" x14ac:dyDescent="0.35">
      <c r="A958" s="1"/>
      <c r="B958" s="19"/>
      <c r="C958" s="20"/>
      <c r="D958" s="21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8" x14ac:dyDescent="0.35">
      <c r="A959" s="1"/>
      <c r="B959" s="19"/>
      <c r="C959" s="20"/>
      <c r="D959" s="21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8" x14ac:dyDescent="0.35">
      <c r="A960" s="1"/>
      <c r="B960" s="19"/>
      <c r="C960" s="20"/>
      <c r="D960" s="21"/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8" x14ac:dyDescent="0.35">
      <c r="A961" s="1"/>
      <c r="B961" s="19"/>
      <c r="C961" s="20"/>
      <c r="D961" s="21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8" x14ac:dyDescent="0.35">
      <c r="A962" s="1"/>
      <c r="B962" s="19"/>
      <c r="C962" s="20"/>
      <c r="D962" s="21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8" x14ac:dyDescent="0.35">
      <c r="A963" s="1"/>
      <c r="B963" s="19"/>
      <c r="C963" s="20"/>
      <c r="D963" s="21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8" x14ac:dyDescent="0.35">
      <c r="A964" s="1"/>
      <c r="B964" s="19"/>
      <c r="C964" s="20"/>
      <c r="D964" s="21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8" x14ac:dyDescent="0.35">
      <c r="A965" s="1"/>
      <c r="B965" s="19"/>
      <c r="C965" s="20"/>
      <c r="D965" s="21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8" x14ac:dyDescent="0.35">
      <c r="A966" s="1"/>
      <c r="B966" s="19"/>
      <c r="C966" s="20"/>
      <c r="D966" s="21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8" x14ac:dyDescent="0.35">
      <c r="A967" s="1"/>
      <c r="B967" s="19"/>
      <c r="C967" s="20"/>
      <c r="D967" s="21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8" x14ac:dyDescent="0.35">
      <c r="A968" s="1"/>
      <c r="B968" s="19"/>
      <c r="C968" s="20"/>
      <c r="D968" s="21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8" x14ac:dyDescent="0.35">
      <c r="A969" s="1"/>
      <c r="B969" s="19"/>
      <c r="C969" s="20"/>
      <c r="D969" s="21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8" x14ac:dyDescent="0.35">
      <c r="A970" s="1"/>
      <c r="B970" s="19"/>
      <c r="C970" s="20"/>
      <c r="D970" s="21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8" x14ac:dyDescent="0.35">
      <c r="A971" s="1"/>
      <c r="B971" s="19"/>
      <c r="C971" s="20"/>
      <c r="D971" s="21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8" x14ac:dyDescent="0.35">
      <c r="A972" s="1"/>
      <c r="B972" s="19"/>
      <c r="C972" s="20"/>
      <c r="D972" s="21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8" x14ac:dyDescent="0.35">
      <c r="A973" s="1"/>
      <c r="B973" s="19"/>
      <c r="C973" s="20"/>
      <c r="D973" s="21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8" x14ac:dyDescent="0.35">
      <c r="A974" s="1"/>
      <c r="B974" s="19"/>
      <c r="C974" s="20"/>
      <c r="D974" s="21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8" x14ac:dyDescent="0.35">
      <c r="A975" s="1"/>
      <c r="B975" s="19"/>
      <c r="C975" s="20"/>
      <c r="D975" s="21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8" x14ac:dyDescent="0.35">
      <c r="A976" s="1"/>
      <c r="B976" s="19"/>
      <c r="C976" s="20"/>
      <c r="D976" s="21"/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8" x14ac:dyDescent="0.35">
      <c r="A977" s="1"/>
      <c r="B977" s="19"/>
      <c r="C977" s="20"/>
      <c r="D977" s="21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8" x14ac:dyDescent="0.35">
      <c r="A978" s="1"/>
      <c r="B978" s="19"/>
      <c r="C978" s="20"/>
      <c r="D978" s="21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8" x14ac:dyDescent="0.35">
      <c r="A979" s="1"/>
      <c r="B979" s="19"/>
      <c r="C979" s="20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8" x14ac:dyDescent="0.35">
      <c r="A980" s="1"/>
      <c r="B980" s="19"/>
      <c r="C980" s="20"/>
      <c r="D980" s="21"/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8" x14ac:dyDescent="0.35">
      <c r="A981" s="1"/>
      <c r="B981" s="19"/>
      <c r="C981" s="20"/>
      <c r="D981" s="21"/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8" x14ac:dyDescent="0.35">
      <c r="A982" s="1"/>
      <c r="B982" s="19"/>
      <c r="C982" s="20"/>
      <c r="D982" s="21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8" x14ac:dyDescent="0.35">
      <c r="A983" s="1"/>
      <c r="B983" s="19"/>
      <c r="C983" s="20"/>
      <c r="D983" s="21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8" x14ac:dyDescent="0.35">
      <c r="A984" s="1"/>
      <c r="B984" s="19"/>
      <c r="C984" s="20"/>
      <c r="D984" s="21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8" x14ac:dyDescent="0.35">
      <c r="A985" s="1"/>
      <c r="B985" s="19"/>
      <c r="C985" s="20"/>
      <c r="D985" s="21"/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8" x14ac:dyDescent="0.35">
      <c r="A986" s="1"/>
      <c r="B986" s="19"/>
      <c r="C986" s="20"/>
      <c r="D986" s="21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8" x14ac:dyDescent="0.35">
      <c r="A987" s="1"/>
      <c r="B987" s="19"/>
      <c r="C987" s="20"/>
      <c r="D987" s="21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8" x14ac:dyDescent="0.35">
      <c r="A988" s="1"/>
      <c r="B988" s="19"/>
      <c r="C988" s="20"/>
      <c r="D988" s="21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8" x14ac:dyDescent="0.35">
      <c r="A989" s="1"/>
      <c r="B989" s="19"/>
      <c r="C989" s="20"/>
      <c r="D989" s="21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8" x14ac:dyDescent="0.35">
      <c r="A990" s="1"/>
      <c r="B990" s="19"/>
      <c r="C990" s="20"/>
      <c r="D990" s="21"/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8" x14ac:dyDescent="0.35">
      <c r="A991" s="1"/>
      <c r="B991" s="19"/>
      <c r="C991" s="20"/>
      <c r="D991" s="21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8" x14ac:dyDescent="0.35">
      <c r="A992" s="1"/>
      <c r="B992" s="19"/>
      <c r="C992" s="20"/>
      <c r="D992" s="21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8" x14ac:dyDescent="0.35">
      <c r="A993" s="1"/>
      <c r="B993" s="19"/>
      <c r="C993" s="20"/>
      <c r="D993" s="21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8" x14ac:dyDescent="0.35">
      <c r="A994" s="1"/>
      <c r="B994" s="19"/>
      <c r="C994" s="20"/>
      <c r="D994" s="21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8" x14ac:dyDescent="0.35">
      <c r="A995" s="1"/>
      <c r="B995" s="19"/>
      <c r="C995" s="20"/>
      <c r="D995" s="21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6666"/>
    <outlinePr summaryBelow="0" summaryRight="0"/>
  </sheetPr>
  <dimension ref="A1:D14"/>
  <sheetViews>
    <sheetView showGridLines="0" workbookViewId="0"/>
  </sheetViews>
  <sheetFormatPr defaultColWidth="14.44140625" defaultRowHeight="15" customHeight="1" x14ac:dyDescent="0.3"/>
  <cols>
    <col min="1" max="1" width="13" customWidth="1"/>
    <col min="2" max="2" width="25.5546875" customWidth="1"/>
    <col min="3" max="3" width="13.88671875" customWidth="1"/>
  </cols>
  <sheetData>
    <row r="1" spans="1:4" ht="81" customHeight="1" x14ac:dyDescent="0.3">
      <c r="A1" s="89" t="s">
        <v>171</v>
      </c>
      <c r="B1" s="90"/>
      <c r="C1" s="90"/>
      <c r="D1" s="90"/>
    </row>
    <row r="2" spans="1:4" ht="15" customHeight="1" x14ac:dyDescent="0.45">
      <c r="B2" s="27"/>
      <c r="C2" s="27"/>
    </row>
    <row r="3" spans="1:4" ht="21.75" customHeight="1" x14ac:dyDescent="0.45">
      <c r="B3" s="28" t="s">
        <v>172</v>
      </c>
      <c r="C3" s="29" t="s">
        <v>173</v>
      </c>
    </row>
    <row r="4" spans="1:4" ht="1.5" customHeight="1" x14ac:dyDescent="0.3">
      <c r="B4" s="91" t="s">
        <v>975</v>
      </c>
    </row>
    <row r="5" spans="1:4" ht="21.75" customHeight="1" x14ac:dyDescent="0.3">
      <c r="B5" t="s">
        <v>174</v>
      </c>
      <c r="C5" s="93">
        <v>20</v>
      </c>
    </row>
    <row r="6" spans="1:4" ht="21.75" customHeight="1" x14ac:dyDescent="0.3">
      <c r="B6" t="s">
        <v>175</v>
      </c>
      <c r="C6" s="93">
        <v>159</v>
      </c>
    </row>
    <row r="7" spans="1:4" ht="21.75" customHeight="1" x14ac:dyDescent="0.3">
      <c r="B7" t="s">
        <v>176</v>
      </c>
      <c r="C7" s="93">
        <v>122</v>
      </c>
    </row>
    <row r="8" spans="1:4" ht="21.75" customHeight="1" x14ac:dyDescent="0.3">
      <c r="B8" t="s">
        <v>7</v>
      </c>
      <c r="C8" s="93">
        <v>235</v>
      </c>
    </row>
    <row r="9" spans="1:4" ht="21.75" customHeight="1" x14ac:dyDescent="0.3">
      <c r="B9" t="s">
        <v>8</v>
      </c>
      <c r="C9" s="93">
        <v>576</v>
      </c>
    </row>
    <row r="10" spans="1:4" ht="21.75" customHeight="1" x14ac:dyDescent="0.3">
      <c r="B10" t="s">
        <v>177</v>
      </c>
      <c r="C10" s="93">
        <v>164</v>
      </c>
    </row>
    <row r="11" spans="1:4" ht="21.75" customHeight="1" x14ac:dyDescent="0.3">
      <c r="B11" t="s">
        <v>178</v>
      </c>
      <c r="C11" s="93">
        <v>83</v>
      </c>
    </row>
    <row r="12" spans="1:4" ht="21.75" customHeight="1" x14ac:dyDescent="0.3">
      <c r="B12" t="s">
        <v>179</v>
      </c>
      <c r="C12" s="93">
        <v>7</v>
      </c>
    </row>
    <row r="13" spans="1:4" ht="21.75" customHeight="1" x14ac:dyDescent="0.3">
      <c r="B13" t="s">
        <v>180</v>
      </c>
      <c r="C13" s="93">
        <v>8</v>
      </c>
    </row>
    <row r="14" spans="1:4" ht="18" x14ac:dyDescent="0.35">
      <c r="B14" s="1"/>
      <c r="C14" s="1"/>
    </row>
  </sheetData>
  <mergeCells count="1">
    <mergeCell ref="A1:D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761D"/>
    <outlinePr summaryBelow="0" summaryRight="0"/>
  </sheetPr>
  <dimension ref="A1:Z809"/>
  <sheetViews>
    <sheetView showGridLines="0" workbookViewId="0"/>
  </sheetViews>
  <sheetFormatPr defaultColWidth="14.44140625" defaultRowHeight="15" customHeight="1" x14ac:dyDescent="0.3"/>
  <cols>
    <col min="1" max="1" width="20.5546875" customWidth="1"/>
    <col min="2" max="2" width="17.6640625" customWidth="1"/>
    <col min="3" max="3" width="314.44140625" customWidth="1"/>
    <col min="4" max="4" width="2.33203125" customWidth="1"/>
  </cols>
  <sheetData>
    <row r="1" spans="1:26" x14ac:dyDescent="0.3">
      <c r="A1" s="91" t="s">
        <v>1</v>
      </c>
      <c r="B1" s="91" t="s">
        <v>181</v>
      </c>
      <c r="C1" s="91" t="s">
        <v>182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x14ac:dyDescent="0.3">
      <c r="A2" t="s">
        <v>133</v>
      </c>
      <c r="B2" s="92">
        <v>43478</v>
      </c>
      <c r="C2" t="s">
        <v>183</v>
      </c>
    </row>
    <row r="3" spans="1:26" x14ac:dyDescent="0.3">
      <c r="B3" s="92">
        <v>43505</v>
      </c>
      <c r="C3" t="s">
        <v>184</v>
      </c>
    </row>
    <row r="4" spans="1:26" x14ac:dyDescent="0.3">
      <c r="A4" t="s">
        <v>124</v>
      </c>
      <c r="B4" s="92">
        <v>43491</v>
      </c>
      <c r="C4" t="s">
        <v>185</v>
      </c>
    </row>
    <row r="5" spans="1:26" x14ac:dyDescent="0.3">
      <c r="B5" s="92">
        <v>43505</v>
      </c>
      <c r="C5" t="s">
        <v>186</v>
      </c>
    </row>
    <row r="6" spans="1:26" x14ac:dyDescent="0.3">
      <c r="B6" s="92">
        <v>43691</v>
      </c>
      <c r="C6" t="s">
        <v>187</v>
      </c>
    </row>
    <row r="7" spans="1:26" x14ac:dyDescent="0.3">
      <c r="A7" t="s">
        <v>139</v>
      </c>
      <c r="B7" s="92">
        <v>43547</v>
      </c>
      <c r="C7" t="s">
        <v>188</v>
      </c>
    </row>
    <row r="8" spans="1:26" x14ac:dyDescent="0.3">
      <c r="B8" s="92">
        <v>43666</v>
      </c>
      <c r="C8" t="s">
        <v>189</v>
      </c>
    </row>
    <row r="9" spans="1:26" x14ac:dyDescent="0.3">
      <c r="A9" t="s">
        <v>80</v>
      </c>
      <c r="B9" s="92">
        <v>43582</v>
      </c>
      <c r="C9" t="s">
        <v>190</v>
      </c>
    </row>
    <row r="10" spans="1:26" x14ac:dyDescent="0.3">
      <c r="B10" s="92">
        <v>43583</v>
      </c>
      <c r="C10" t="s">
        <v>191</v>
      </c>
    </row>
    <row r="11" spans="1:26" x14ac:dyDescent="0.3">
      <c r="B11" s="92">
        <v>43602</v>
      </c>
      <c r="C11" t="s">
        <v>192</v>
      </c>
    </row>
    <row r="12" spans="1:26" x14ac:dyDescent="0.3">
      <c r="B12" s="92">
        <v>43624</v>
      </c>
      <c r="C12" t="s">
        <v>193</v>
      </c>
    </row>
    <row r="13" spans="1:26" x14ac:dyDescent="0.3">
      <c r="B13" s="92">
        <v>43636</v>
      </c>
      <c r="C13" t="s">
        <v>194</v>
      </c>
    </row>
    <row r="14" spans="1:26" x14ac:dyDescent="0.3">
      <c r="B14" s="92">
        <v>43645</v>
      </c>
      <c r="C14" t="s">
        <v>195</v>
      </c>
    </row>
    <row r="15" spans="1:26" x14ac:dyDescent="0.3">
      <c r="B15" s="92">
        <v>43646</v>
      </c>
      <c r="C15" t="s">
        <v>196</v>
      </c>
    </row>
    <row r="16" spans="1:26" x14ac:dyDescent="0.3">
      <c r="B16" s="92">
        <v>43659</v>
      </c>
      <c r="C16" t="s">
        <v>197</v>
      </c>
    </row>
    <row r="17" spans="1:3" x14ac:dyDescent="0.3">
      <c r="B17" s="92">
        <v>43662</v>
      </c>
      <c r="C17" t="s">
        <v>198</v>
      </c>
    </row>
    <row r="18" spans="1:3" x14ac:dyDescent="0.3">
      <c r="B18" s="92">
        <v>43729</v>
      </c>
      <c r="C18" t="s">
        <v>199</v>
      </c>
    </row>
    <row r="19" spans="1:3" x14ac:dyDescent="0.3">
      <c r="B19" s="92">
        <v>43734</v>
      </c>
      <c r="C19" t="s">
        <v>200</v>
      </c>
    </row>
    <row r="20" spans="1:3" x14ac:dyDescent="0.3">
      <c r="B20" s="92">
        <v>43737</v>
      </c>
      <c r="C20" t="s">
        <v>201</v>
      </c>
    </row>
    <row r="21" spans="1:3" x14ac:dyDescent="0.3">
      <c r="A21" t="s">
        <v>151</v>
      </c>
      <c r="B21" s="92">
        <v>43588</v>
      </c>
      <c r="C21" t="s">
        <v>202</v>
      </c>
    </row>
    <row r="22" spans="1:3" x14ac:dyDescent="0.3">
      <c r="A22" t="s">
        <v>136</v>
      </c>
      <c r="B22" s="92">
        <v>43586</v>
      </c>
      <c r="C22" t="s">
        <v>203</v>
      </c>
    </row>
    <row r="23" spans="1:3" x14ac:dyDescent="0.3">
      <c r="A23" t="s">
        <v>115</v>
      </c>
      <c r="B23" s="92">
        <v>43519</v>
      </c>
      <c r="C23" t="s">
        <v>204</v>
      </c>
    </row>
    <row r="24" spans="1:3" x14ac:dyDescent="0.3">
      <c r="B24" s="92">
        <v>43574</v>
      </c>
      <c r="C24" t="s">
        <v>205</v>
      </c>
    </row>
    <row r="25" spans="1:3" x14ac:dyDescent="0.3">
      <c r="B25" s="92">
        <v>43581</v>
      </c>
      <c r="C25" t="s">
        <v>206</v>
      </c>
    </row>
    <row r="26" spans="1:3" x14ac:dyDescent="0.3">
      <c r="A26" t="s">
        <v>142</v>
      </c>
      <c r="B26" s="92">
        <v>43779</v>
      </c>
      <c r="C26" t="s">
        <v>207</v>
      </c>
    </row>
    <row r="27" spans="1:3" x14ac:dyDescent="0.3">
      <c r="A27" t="s">
        <v>121</v>
      </c>
      <c r="B27" s="92">
        <v>43599</v>
      </c>
      <c r="C27" t="s">
        <v>208</v>
      </c>
    </row>
    <row r="28" spans="1:3" x14ac:dyDescent="0.3">
      <c r="A28" t="s">
        <v>127</v>
      </c>
      <c r="B28" s="92">
        <v>43533</v>
      </c>
      <c r="C28" t="s">
        <v>209</v>
      </c>
    </row>
    <row r="29" spans="1:3" x14ac:dyDescent="0.3">
      <c r="A29" t="s">
        <v>56</v>
      </c>
      <c r="B29" s="92">
        <v>43576</v>
      </c>
      <c r="C29" t="s">
        <v>210</v>
      </c>
    </row>
    <row r="30" spans="1:3" x14ac:dyDescent="0.3">
      <c r="B30" s="92">
        <v>43581</v>
      </c>
      <c r="C30" t="s">
        <v>211</v>
      </c>
    </row>
    <row r="31" spans="1:3" x14ac:dyDescent="0.3">
      <c r="B31" s="92">
        <v>43582</v>
      </c>
      <c r="C31" t="s">
        <v>212</v>
      </c>
    </row>
    <row r="32" spans="1:3" x14ac:dyDescent="0.3">
      <c r="B32" s="92">
        <v>43586</v>
      </c>
      <c r="C32" t="s">
        <v>213</v>
      </c>
    </row>
    <row r="33" spans="1:3" x14ac:dyDescent="0.3">
      <c r="B33" s="92">
        <v>43588</v>
      </c>
      <c r="C33" t="s">
        <v>214</v>
      </c>
    </row>
    <row r="34" spans="1:3" x14ac:dyDescent="0.3">
      <c r="B34" s="92">
        <v>43593</v>
      </c>
      <c r="C34" t="s">
        <v>215</v>
      </c>
    </row>
    <row r="35" spans="1:3" x14ac:dyDescent="0.3">
      <c r="B35" s="92">
        <v>43597</v>
      </c>
      <c r="C35" t="s">
        <v>216</v>
      </c>
    </row>
    <row r="36" spans="1:3" x14ac:dyDescent="0.3">
      <c r="B36" s="92">
        <v>43608</v>
      </c>
      <c r="C36" t="s">
        <v>217</v>
      </c>
    </row>
    <row r="37" spans="1:3" x14ac:dyDescent="0.3">
      <c r="B37" s="92">
        <v>43619</v>
      </c>
      <c r="C37" t="s">
        <v>218</v>
      </c>
    </row>
    <row r="38" spans="1:3" x14ac:dyDescent="0.3">
      <c r="B38" s="92">
        <v>43652</v>
      </c>
      <c r="C38" t="s">
        <v>219</v>
      </c>
    </row>
    <row r="39" spans="1:3" x14ac:dyDescent="0.3">
      <c r="B39" s="92">
        <v>43653</v>
      </c>
      <c r="C39" t="s">
        <v>220</v>
      </c>
    </row>
    <row r="40" spans="1:3" x14ac:dyDescent="0.3">
      <c r="B40" s="92">
        <v>43678</v>
      </c>
      <c r="C40" t="s">
        <v>221</v>
      </c>
    </row>
    <row r="41" spans="1:3" x14ac:dyDescent="0.3">
      <c r="B41" s="92">
        <v>43706</v>
      </c>
      <c r="C41" t="s">
        <v>222</v>
      </c>
    </row>
    <row r="42" spans="1:3" x14ac:dyDescent="0.3">
      <c r="B42" s="92">
        <v>43758</v>
      </c>
      <c r="C42" t="s">
        <v>223</v>
      </c>
    </row>
    <row r="43" spans="1:3" x14ac:dyDescent="0.3">
      <c r="A43" t="s">
        <v>59</v>
      </c>
      <c r="B43" s="92">
        <v>43485</v>
      </c>
      <c r="C43" t="s">
        <v>224</v>
      </c>
    </row>
    <row r="44" spans="1:3" x14ac:dyDescent="0.3">
      <c r="B44" s="92">
        <v>43490</v>
      </c>
      <c r="C44" t="s">
        <v>225</v>
      </c>
    </row>
    <row r="45" spans="1:3" x14ac:dyDescent="0.3">
      <c r="B45" s="92">
        <v>43492</v>
      </c>
      <c r="C45" t="s">
        <v>226</v>
      </c>
    </row>
    <row r="46" spans="1:3" x14ac:dyDescent="0.3">
      <c r="B46" s="92">
        <v>43498</v>
      </c>
      <c r="C46" t="s">
        <v>227</v>
      </c>
    </row>
    <row r="47" spans="1:3" x14ac:dyDescent="0.3">
      <c r="B47" s="92">
        <v>43503</v>
      </c>
      <c r="C47" t="s">
        <v>228</v>
      </c>
    </row>
    <row r="48" spans="1:3" x14ac:dyDescent="0.3">
      <c r="B48" s="92">
        <v>43505</v>
      </c>
      <c r="C48" t="s">
        <v>184</v>
      </c>
    </row>
    <row r="49" spans="2:3" x14ac:dyDescent="0.3">
      <c r="B49" s="92">
        <v>43513</v>
      </c>
      <c r="C49" t="s">
        <v>229</v>
      </c>
    </row>
    <row r="50" spans="2:3" x14ac:dyDescent="0.3">
      <c r="B50" s="92">
        <v>43527</v>
      </c>
      <c r="C50" t="s">
        <v>230</v>
      </c>
    </row>
    <row r="51" spans="2:3" x14ac:dyDescent="0.3">
      <c r="B51" s="92">
        <v>43533</v>
      </c>
      <c r="C51" t="s">
        <v>231</v>
      </c>
    </row>
    <row r="52" spans="2:3" x14ac:dyDescent="0.3">
      <c r="B52" s="92">
        <v>43545</v>
      </c>
      <c r="C52" t="s">
        <v>232</v>
      </c>
    </row>
    <row r="53" spans="2:3" x14ac:dyDescent="0.3">
      <c r="B53" s="92">
        <v>43547</v>
      </c>
      <c r="C53" t="s">
        <v>233</v>
      </c>
    </row>
    <row r="54" spans="2:3" x14ac:dyDescent="0.3">
      <c r="B54" s="92">
        <v>43555</v>
      </c>
      <c r="C54" t="s">
        <v>234</v>
      </c>
    </row>
    <row r="55" spans="2:3" x14ac:dyDescent="0.3">
      <c r="B55" s="92">
        <v>43569</v>
      </c>
      <c r="C55" t="s">
        <v>235</v>
      </c>
    </row>
    <row r="56" spans="2:3" x14ac:dyDescent="0.3">
      <c r="B56" s="92">
        <v>43574</v>
      </c>
      <c r="C56" t="s">
        <v>236</v>
      </c>
    </row>
    <row r="57" spans="2:3" x14ac:dyDescent="0.3">
      <c r="B57" s="92">
        <v>43593</v>
      </c>
      <c r="C57" t="s">
        <v>237</v>
      </c>
    </row>
    <row r="58" spans="2:3" x14ac:dyDescent="0.3">
      <c r="B58" s="92">
        <v>43596</v>
      </c>
      <c r="C58" t="s">
        <v>238</v>
      </c>
    </row>
    <row r="59" spans="2:3" x14ac:dyDescent="0.3">
      <c r="B59" s="92">
        <v>43603</v>
      </c>
      <c r="C59" t="s">
        <v>239</v>
      </c>
    </row>
    <row r="60" spans="2:3" x14ac:dyDescent="0.3">
      <c r="B60" s="92">
        <v>43617</v>
      </c>
      <c r="C60" t="s">
        <v>240</v>
      </c>
    </row>
    <row r="61" spans="2:3" x14ac:dyDescent="0.3">
      <c r="B61" s="92">
        <v>43620</v>
      </c>
      <c r="C61" t="s">
        <v>241</v>
      </c>
    </row>
    <row r="62" spans="2:3" x14ac:dyDescent="0.3">
      <c r="B62" s="92">
        <v>43621</v>
      </c>
      <c r="C62" t="s">
        <v>242</v>
      </c>
    </row>
    <row r="63" spans="2:3" x14ac:dyDescent="0.3">
      <c r="B63" s="92">
        <v>43631</v>
      </c>
      <c r="C63" t="s">
        <v>243</v>
      </c>
    </row>
    <row r="64" spans="2:3" x14ac:dyDescent="0.3">
      <c r="B64" s="92">
        <v>43639</v>
      </c>
      <c r="C64" t="s">
        <v>244</v>
      </c>
    </row>
    <row r="65" spans="1:3" x14ac:dyDescent="0.3">
      <c r="B65" s="92">
        <v>43651</v>
      </c>
      <c r="C65" t="s">
        <v>245</v>
      </c>
    </row>
    <row r="66" spans="1:3" x14ac:dyDescent="0.3">
      <c r="B66" s="92">
        <v>43700</v>
      </c>
      <c r="C66" t="s">
        <v>246</v>
      </c>
    </row>
    <row r="67" spans="1:3" x14ac:dyDescent="0.3">
      <c r="A67" t="s">
        <v>17</v>
      </c>
      <c r="B67" s="92">
        <v>43477</v>
      </c>
      <c r="C67" t="s">
        <v>247</v>
      </c>
    </row>
    <row r="68" spans="1:3" x14ac:dyDescent="0.3">
      <c r="B68" s="92">
        <v>43481</v>
      </c>
      <c r="C68" t="s">
        <v>248</v>
      </c>
    </row>
    <row r="69" spans="1:3" x14ac:dyDescent="0.3">
      <c r="B69" s="92">
        <v>43484</v>
      </c>
      <c r="C69" t="s">
        <v>249</v>
      </c>
    </row>
    <row r="70" spans="1:3" x14ac:dyDescent="0.3">
      <c r="B70" s="92">
        <v>43485</v>
      </c>
      <c r="C70" t="s">
        <v>250</v>
      </c>
    </row>
    <row r="71" spans="1:3" x14ac:dyDescent="0.3">
      <c r="B71" s="92">
        <v>43491</v>
      </c>
      <c r="C71" t="s">
        <v>251</v>
      </c>
    </row>
    <row r="72" spans="1:3" x14ac:dyDescent="0.3">
      <c r="B72" s="92">
        <v>43494</v>
      </c>
      <c r="C72" t="s">
        <v>252</v>
      </c>
    </row>
    <row r="73" spans="1:3" x14ac:dyDescent="0.3">
      <c r="B73" s="92">
        <v>43497</v>
      </c>
      <c r="C73" t="s">
        <v>253</v>
      </c>
    </row>
    <row r="74" spans="1:3" x14ac:dyDescent="0.3">
      <c r="B74" s="92">
        <v>43498</v>
      </c>
      <c r="C74" t="s">
        <v>254</v>
      </c>
    </row>
    <row r="75" spans="1:3" x14ac:dyDescent="0.3">
      <c r="B75" s="92">
        <v>43500</v>
      </c>
      <c r="C75" t="s">
        <v>255</v>
      </c>
    </row>
    <row r="76" spans="1:3" x14ac:dyDescent="0.3">
      <c r="B76" s="92">
        <v>43501</v>
      </c>
      <c r="C76" t="s">
        <v>256</v>
      </c>
    </row>
    <row r="77" spans="1:3" x14ac:dyDescent="0.3">
      <c r="B77" s="92">
        <v>43503</v>
      </c>
      <c r="C77" t="s">
        <v>257</v>
      </c>
    </row>
    <row r="78" spans="1:3" x14ac:dyDescent="0.3">
      <c r="B78" s="92">
        <v>43506</v>
      </c>
      <c r="C78" t="s">
        <v>258</v>
      </c>
    </row>
    <row r="79" spans="1:3" x14ac:dyDescent="0.3">
      <c r="B79" s="92">
        <v>43513</v>
      </c>
      <c r="C79" t="s">
        <v>259</v>
      </c>
    </row>
    <row r="80" spans="1:3" x14ac:dyDescent="0.3">
      <c r="B80" s="92">
        <v>43516</v>
      </c>
      <c r="C80" t="s">
        <v>260</v>
      </c>
    </row>
    <row r="81" spans="2:3" x14ac:dyDescent="0.3">
      <c r="B81" s="92">
        <v>43519</v>
      </c>
      <c r="C81" t="s">
        <v>261</v>
      </c>
    </row>
    <row r="82" spans="2:3" x14ac:dyDescent="0.3">
      <c r="B82" s="92">
        <v>43522</v>
      </c>
      <c r="C82" t="s">
        <v>262</v>
      </c>
    </row>
    <row r="83" spans="2:3" x14ac:dyDescent="0.3">
      <c r="B83" s="92">
        <v>43525</v>
      </c>
      <c r="C83" t="s">
        <v>214</v>
      </c>
    </row>
    <row r="84" spans="2:3" x14ac:dyDescent="0.3">
      <c r="B84" s="92">
        <v>43526</v>
      </c>
      <c r="C84" t="s">
        <v>263</v>
      </c>
    </row>
    <row r="85" spans="2:3" x14ac:dyDescent="0.3">
      <c r="B85" s="92">
        <v>43527</v>
      </c>
      <c r="C85" t="s">
        <v>264</v>
      </c>
    </row>
    <row r="86" spans="2:3" x14ac:dyDescent="0.3">
      <c r="B86" s="92">
        <v>43533</v>
      </c>
      <c r="C86" t="s">
        <v>209</v>
      </c>
    </row>
    <row r="87" spans="2:3" x14ac:dyDescent="0.3">
      <c r="B87" s="92">
        <v>43534</v>
      </c>
      <c r="C87" t="s">
        <v>265</v>
      </c>
    </row>
    <row r="88" spans="2:3" x14ac:dyDescent="0.3">
      <c r="B88" s="92">
        <v>43539</v>
      </c>
      <c r="C88" t="s">
        <v>266</v>
      </c>
    </row>
    <row r="89" spans="2:3" x14ac:dyDescent="0.3">
      <c r="B89" s="92">
        <v>43541</v>
      </c>
      <c r="C89" t="s">
        <v>267</v>
      </c>
    </row>
    <row r="90" spans="2:3" x14ac:dyDescent="0.3">
      <c r="B90" s="92">
        <v>43543</v>
      </c>
      <c r="C90" t="s">
        <v>268</v>
      </c>
    </row>
    <row r="91" spans="2:3" x14ac:dyDescent="0.3">
      <c r="B91" s="92">
        <v>43547</v>
      </c>
      <c r="C91" t="s">
        <v>269</v>
      </c>
    </row>
    <row r="92" spans="2:3" x14ac:dyDescent="0.3">
      <c r="B92" s="92">
        <v>43555</v>
      </c>
      <c r="C92" t="s">
        <v>270</v>
      </c>
    </row>
    <row r="93" spans="2:3" x14ac:dyDescent="0.3">
      <c r="B93" s="92">
        <v>43561</v>
      </c>
      <c r="C93" t="s">
        <v>194</v>
      </c>
    </row>
    <row r="94" spans="2:3" x14ac:dyDescent="0.3">
      <c r="B94" s="92">
        <v>43562</v>
      </c>
      <c r="C94" t="s">
        <v>271</v>
      </c>
    </row>
    <row r="95" spans="2:3" x14ac:dyDescent="0.3">
      <c r="B95" s="92">
        <v>43568</v>
      </c>
      <c r="C95" t="s">
        <v>272</v>
      </c>
    </row>
    <row r="96" spans="2:3" x14ac:dyDescent="0.3">
      <c r="B96" s="92">
        <v>43569</v>
      </c>
      <c r="C96" t="s">
        <v>235</v>
      </c>
    </row>
    <row r="97" spans="2:3" x14ac:dyDescent="0.3">
      <c r="B97" s="92">
        <v>43572</v>
      </c>
      <c r="C97" t="s">
        <v>273</v>
      </c>
    </row>
    <row r="98" spans="2:3" x14ac:dyDescent="0.3">
      <c r="B98" s="92">
        <v>43574</v>
      </c>
      <c r="C98" t="s">
        <v>274</v>
      </c>
    </row>
    <row r="99" spans="2:3" x14ac:dyDescent="0.3">
      <c r="B99" s="92">
        <v>43575</v>
      </c>
      <c r="C99" t="s">
        <v>275</v>
      </c>
    </row>
    <row r="100" spans="2:3" x14ac:dyDescent="0.3">
      <c r="B100" s="92">
        <v>43576</v>
      </c>
      <c r="C100" t="s">
        <v>276</v>
      </c>
    </row>
    <row r="101" spans="2:3" x14ac:dyDescent="0.3">
      <c r="B101" s="92">
        <v>43577</v>
      </c>
      <c r="C101" t="s">
        <v>277</v>
      </c>
    </row>
    <row r="102" spans="2:3" x14ac:dyDescent="0.3">
      <c r="B102" s="92">
        <v>43583</v>
      </c>
      <c r="C102" t="s">
        <v>278</v>
      </c>
    </row>
    <row r="103" spans="2:3" x14ac:dyDescent="0.3">
      <c r="B103" s="92">
        <v>43586</v>
      </c>
      <c r="C103" t="s">
        <v>279</v>
      </c>
    </row>
    <row r="104" spans="2:3" x14ac:dyDescent="0.3">
      <c r="B104" s="92">
        <v>43589</v>
      </c>
      <c r="C104" t="s">
        <v>280</v>
      </c>
    </row>
    <row r="105" spans="2:3" x14ac:dyDescent="0.3">
      <c r="B105" s="92">
        <v>43594</v>
      </c>
      <c r="C105" t="s">
        <v>281</v>
      </c>
    </row>
    <row r="106" spans="2:3" x14ac:dyDescent="0.3">
      <c r="B106" s="92">
        <v>43595</v>
      </c>
      <c r="C106" t="s">
        <v>282</v>
      </c>
    </row>
    <row r="107" spans="2:3" x14ac:dyDescent="0.3">
      <c r="B107" s="92">
        <v>43604</v>
      </c>
      <c r="C107" t="s">
        <v>283</v>
      </c>
    </row>
    <row r="108" spans="2:3" x14ac:dyDescent="0.3">
      <c r="B108" s="92">
        <v>43618</v>
      </c>
      <c r="C108" t="s">
        <v>284</v>
      </c>
    </row>
    <row r="109" spans="2:3" x14ac:dyDescent="0.3">
      <c r="B109" s="92">
        <v>43623</v>
      </c>
      <c r="C109" t="s">
        <v>285</v>
      </c>
    </row>
    <row r="110" spans="2:3" x14ac:dyDescent="0.3">
      <c r="B110" s="92">
        <v>43625</v>
      </c>
      <c r="C110" t="s">
        <v>286</v>
      </c>
    </row>
    <row r="111" spans="2:3" x14ac:dyDescent="0.3">
      <c r="B111" s="92">
        <v>43628</v>
      </c>
      <c r="C111" t="s">
        <v>287</v>
      </c>
    </row>
    <row r="112" spans="2:3" x14ac:dyDescent="0.3">
      <c r="B112" s="92">
        <v>43638</v>
      </c>
      <c r="C112" t="s">
        <v>288</v>
      </c>
    </row>
    <row r="113" spans="2:3" x14ac:dyDescent="0.3">
      <c r="B113" s="92">
        <v>43645</v>
      </c>
      <c r="C113" t="s">
        <v>289</v>
      </c>
    </row>
    <row r="114" spans="2:3" x14ac:dyDescent="0.3">
      <c r="B114" s="92">
        <v>43652</v>
      </c>
      <c r="C114" t="s">
        <v>290</v>
      </c>
    </row>
    <row r="115" spans="2:3" x14ac:dyDescent="0.3">
      <c r="B115" s="92">
        <v>43662</v>
      </c>
      <c r="C115" t="s">
        <v>291</v>
      </c>
    </row>
    <row r="116" spans="2:3" x14ac:dyDescent="0.3">
      <c r="B116" s="92">
        <v>43663</v>
      </c>
      <c r="C116" t="s">
        <v>292</v>
      </c>
    </row>
    <row r="117" spans="2:3" x14ac:dyDescent="0.3">
      <c r="B117" s="92">
        <v>43664</v>
      </c>
      <c r="C117" t="s">
        <v>293</v>
      </c>
    </row>
    <row r="118" spans="2:3" x14ac:dyDescent="0.3">
      <c r="B118" s="92">
        <v>43680</v>
      </c>
      <c r="C118" t="s">
        <v>294</v>
      </c>
    </row>
    <row r="119" spans="2:3" x14ac:dyDescent="0.3">
      <c r="B119" s="92">
        <v>43684</v>
      </c>
      <c r="C119" t="s">
        <v>295</v>
      </c>
    </row>
    <row r="120" spans="2:3" x14ac:dyDescent="0.3">
      <c r="C120" t="s">
        <v>296</v>
      </c>
    </row>
    <row r="121" spans="2:3" x14ac:dyDescent="0.3">
      <c r="B121" s="92">
        <v>43694</v>
      </c>
      <c r="C121" t="s">
        <v>297</v>
      </c>
    </row>
    <row r="122" spans="2:3" x14ac:dyDescent="0.3">
      <c r="B122" s="92">
        <v>43702</v>
      </c>
      <c r="C122" t="s">
        <v>970</v>
      </c>
    </row>
    <row r="123" spans="2:3" x14ac:dyDescent="0.3">
      <c r="B123" s="92">
        <v>43709</v>
      </c>
      <c r="C123" t="s">
        <v>299</v>
      </c>
    </row>
    <row r="124" spans="2:3" x14ac:dyDescent="0.3">
      <c r="B124" s="92">
        <v>43711</v>
      </c>
      <c r="C124" t="s">
        <v>300</v>
      </c>
    </row>
    <row r="125" spans="2:3" x14ac:dyDescent="0.3">
      <c r="B125" s="92">
        <v>43718</v>
      </c>
      <c r="C125" t="s">
        <v>301</v>
      </c>
    </row>
    <row r="126" spans="2:3" x14ac:dyDescent="0.3">
      <c r="B126" s="92">
        <v>43721</v>
      </c>
      <c r="C126" t="s">
        <v>302</v>
      </c>
    </row>
    <row r="127" spans="2:3" x14ac:dyDescent="0.3">
      <c r="B127" s="92">
        <v>43724</v>
      </c>
      <c r="C127" t="s">
        <v>303</v>
      </c>
    </row>
    <row r="128" spans="2:3" x14ac:dyDescent="0.3">
      <c r="B128" s="92">
        <v>43725</v>
      </c>
      <c r="C128" t="s">
        <v>304</v>
      </c>
    </row>
    <row r="129" spans="2:3" x14ac:dyDescent="0.3">
      <c r="B129" s="92">
        <v>43726</v>
      </c>
      <c r="C129" t="s">
        <v>305</v>
      </c>
    </row>
    <row r="130" spans="2:3" x14ac:dyDescent="0.3">
      <c r="B130" s="92">
        <v>43727</v>
      </c>
      <c r="C130" t="s">
        <v>306</v>
      </c>
    </row>
    <row r="131" spans="2:3" x14ac:dyDescent="0.3">
      <c r="B131" s="92">
        <v>43728</v>
      </c>
      <c r="C131" t="s">
        <v>307</v>
      </c>
    </row>
    <row r="132" spans="2:3" x14ac:dyDescent="0.3">
      <c r="B132" s="92">
        <v>43729</v>
      </c>
      <c r="C132" t="s">
        <v>308</v>
      </c>
    </row>
    <row r="133" spans="2:3" x14ac:dyDescent="0.3">
      <c r="B133" s="92">
        <v>43730</v>
      </c>
      <c r="C133" t="s">
        <v>309</v>
      </c>
    </row>
    <row r="134" spans="2:3" x14ac:dyDescent="0.3">
      <c r="B134" s="92">
        <v>43736</v>
      </c>
      <c r="C134" t="s">
        <v>310</v>
      </c>
    </row>
    <row r="135" spans="2:3" x14ac:dyDescent="0.3">
      <c r="B135" s="92">
        <v>43744</v>
      </c>
      <c r="C135" t="s">
        <v>311</v>
      </c>
    </row>
    <row r="136" spans="2:3" x14ac:dyDescent="0.3">
      <c r="B136" s="92">
        <v>43749</v>
      </c>
      <c r="C136" t="s">
        <v>312</v>
      </c>
    </row>
    <row r="137" spans="2:3" x14ac:dyDescent="0.3">
      <c r="B137" s="92">
        <v>43751</v>
      </c>
      <c r="C137" t="s">
        <v>313</v>
      </c>
    </row>
    <row r="138" spans="2:3" x14ac:dyDescent="0.3">
      <c r="B138" s="92">
        <v>43754</v>
      </c>
      <c r="C138" t="s">
        <v>314</v>
      </c>
    </row>
    <row r="139" spans="2:3" x14ac:dyDescent="0.3">
      <c r="B139" s="92">
        <v>43758</v>
      </c>
      <c r="C139" t="s">
        <v>315</v>
      </c>
    </row>
    <row r="140" spans="2:3" x14ac:dyDescent="0.3">
      <c r="B140" s="92">
        <v>43762</v>
      </c>
      <c r="C140" t="s">
        <v>316</v>
      </c>
    </row>
    <row r="141" spans="2:3" x14ac:dyDescent="0.3">
      <c r="B141" s="92">
        <v>43764</v>
      </c>
      <c r="C141" t="s">
        <v>317</v>
      </c>
    </row>
    <row r="142" spans="2:3" x14ac:dyDescent="0.3">
      <c r="B142" s="92">
        <v>43765</v>
      </c>
      <c r="C142" t="s">
        <v>318</v>
      </c>
    </row>
    <row r="143" spans="2:3" x14ac:dyDescent="0.3">
      <c r="B143" s="92">
        <v>43770</v>
      </c>
      <c r="C143" t="s">
        <v>319</v>
      </c>
    </row>
    <row r="144" spans="2:3" x14ac:dyDescent="0.3">
      <c r="B144" s="92">
        <v>43771</v>
      </c>
      <c r="C144" t="s">
        <v>320</v>
      </c>
    </row>
    <row r="145" spans="1:3" x14ac:dyDescent="0.3">
      <c r="B145" s="92">
        <v>43772</v>
      </c>
      <c r="C145" t="s">
        <v>321</v>
      </c>
    </row>
    <row r="146" spans="1:3" x14ac:dyDescent="0.3">
      <c r="B146" s="92">
        <v>43777</v>
      </c>
      <c r="C146" t="s">
        <v>322</v>
      </c>
    </row>
    <row r="147" spans="1:3" x14ac:dyDescent="0.3">
      <c r="B147" s="92">
        <v>43778</v>
      </c>
      <c r="C147" t="s">
        <v>323</v>
      </c>
    </row>
    <row r="148" spans="1:3" x14ac:dyDescent="0.3">
      <c r="B148" s="92">
        <v>43779</v>
      </c>
      <c r="C148" t="s">
        <v>324</v>
      </c>
    </row>
    <row r="149" spans="1:3" x14ac:dyDescent="0.3">
      <c r="B149" s="92">
        <v>43784</v>
      </c>
      <c r="C149" t="s">
        <v>325</v>
      </c>
    </row>
    <row r="150" spans="1:3" x14ac:dyDescent="0.3">
      <c r="A150" t="s">
        <v>62</v>
      </c>
      <c r="B150" s="92">
        <v>43653</v>
      </c>
      <c r="C150" t="s">
        <v>326</v>
      </c>
    </row>
    <row r="151" spans="1:3" x14ac:dyDescent="0.3">
      <c r="B151" s="92">
        <v>43694</v>
      </c>
      <c r="C151" t="s">
        <v>327</v>
      </c>
    </row>
    <row r="152" spans="1:3" x14ac:dyDescent="0.3">
      <c r="B152" s="92">
        <v>43725</v>
      </c>
      <c r="C152" t="s">
        <v>328</v>
      </c>
    </row>
    <row r="153" spans="1:3" x14ac:dyDescent="0.3">
      <c r="B153" s="92">
        <v>43728</v>
      </c>
      <c r="C153" t="s">
        <v>329</v>
      </c>
    </row>
    <row r="154" spans="1:3" x14ac:dyDescent="0.3">
      <c r="B154" s="92">
        <v>43767</v>
      </c>
      <c r="C154" t="s">
        <v>330</v>
      </c>
    </row>
    <row r="155" spans="1:3" x14ac:dyDescent="0.3">
      <c r="B155" s="92">
        <v>43778</v>
      </c>
      <c r="C155" t="s">
        <v>331</v>
      </c>
    </row>
    <row r="156" spans="1:3" x14ac:dyDescent="0.3">
      <c r="B156" s="92">
        <v>43783</v>
      </c>
      <c r="C156" t="s">
        <v>332</v>
      </c>
    </row>
    <row r="157" spans="1:3" x14ac:dyDescent="0.3">
      <c r="A157" t="s">
        <v>160</v>
      </c>
      <c r="B157" s="92">
        <v>43519</v>
      </c>
      <c r="C157" t="s">
        <v>333</v>
      </c>
    </row>
    <row r="158" spans="1:3" x14ac:dyDescent="0.3">
      <c r="A158" t="s">
        <v>47</v>
      </c>
      <c r="B158" s="92">
        <v>43519</v>
      </c>
      <c r="C158" t="s">
        <v>334</v>
      </c>
    </row>
    <row r="159" spans="1:3" x14ac:dyDescent="0.3">
      <c r="B159" s="92">
        <v>43528</v>
      </c>
      <c r="C159" t="s">
        <v>335</v>
      </c>
    </row>
    <row r="160" spans="1:3" x14ac:dyDescent="0.3">
      <c r="B160" s="92">
        <v>43529</v>
      </c>
      <c r="C160" t="s">
        <v>336</v>
      </c>
    </row>
    <row r="161" spans="2:3" x14ac:dyDescent="0.3">
      <c r="B161" s="92">
        <v>43555</v>
      </c>
      <c r="C161" t="s">
        <v>337</v>
      </c>
    </row>
    <row r="162" spans="2:3" x14ac:dyDescent="0.3">
      <c r="B162" s="92">
        <v>43577</v>
      </c>
      <c r="C162" t="s">
        <v>338</v>
      </c>
    </row>
    <row r="163" spans="2:3" x14ac:dyDescent="0.3">
      <c r="B163" s="92">
        <v>43580</v>
      </c>
      <c r="C163" t="s">
        <v>339</v>
      </c>
    </row>
    <row r="164" spans="2:3" x14ac:dyDescent="0.3">
      <c r="B164" s="92">
        <v>43587</v>
      </c>
      <c r="C164" t="s">
        <v>340</v>
      </c>
    </row>
    <row r="165" spans="2:3" x14ac:dyDescent="0.3">
      <c r="B165" s="92">
        <v>43594</v>
      </c>
      <c r="C165" t="s">
        <v>341</v>
      </c>
    </row>
    <row r="166" spans="2:3" x14ac:dyDescent="0.3">
      <c r="B166" s="92">
        <v>43595</v>
      </c>
      <c r="C166" t="s">
        <v>342</v>
      </c>
    </row>
    <row r="167" spans="2:3" x14ac:dyDescent="0.3">
      <c r="B167" s="92">
        <v>43597</v>
      </c>
      <c r="C167" t="s">
        <v>343</v>
      </c>
    </row>
    <row r="168" spans="2:3" x14ac:dyDescent="0.3">
      <c r="B168" s="92">
        <v>43604</v>
      </c>
      <c r="C168" t="s">
        <v>344</v>
      </c>
    </row>
    <row r="169" spans="2:3" x14ac:dyDescent="0.3">
      <c r="B169" s="92">
        <v>43611</v>
      </c>
      <c r="C169" t="s">
        <v>345</v>
      </c>
    </row>
    <row r="170" spans="2:3" x14ac:dyDescent="0.3">
      <c r="B170" s="92">
        <v>43618</v>
      </c>
      <c r="C170" t="s">
        <v>346</v>
      </c>
    </row>
    <row r="171" spans="2:3" x14ac:dyDescent="0.3">
      <c r="B171" s="92">
        <v>43625</v>
      </c>
      <c r="C171" t="s">
        <v>347</v>
      </c>
    </row>
    <row r="172" spans="2:3" x14ac:dyDescent="0.3">
      <c r="B172" s="92">
        <v>43646</v>
      </c>
      <c r="C172" t="s">
        <v>348</v>
      </c>
    </row>
    <row r="173" spans="2:3" x14ac:dyDescent="0.3">
      <c r="B173" s="92">
        <v>43653</v>
      </c>
      <c r="C173" t="s">
        <v>349</v>
      </c>
    </row>
    <row r="174" spans="2:3" x14ac:dyDescent="0.3">
      <c r="B174" s="92">
        <v>43679</v>
      </c>
      <c r="C174" t="s">
        <v>350</v>
      </c>
    </row>
    <row r="175" spans="2:3" x14ac:dyDescent="0.3">
      <c r="B175" s="92">
        <v>43721</v>
      </c>
      <c r="C175" t="s">
        <v>351</v>
      </c>
    </row>
    <row r="176" spans="2:3" x14ac:dyDescent="0.3">
      <c r="B176" s="92">
        <v>43751</v>
      </c>
      <c r="C176" t="s">
        <v>352</v>
      </c>
    </row>
    <row r="177" spans="1:3" x14ac:dyDescent="0.3">
      <c r="B177" s="92">
        <v>43779</v>
      </c>
      <c r="C177" t="s">
        <v>353</v>
      </c>
    </row>
    <row r="178" spans="1:3" x14ac:dyDescent="0.3">
      <c r="B178" s="92">
        <v>43784</v>
      </c>
      <c r="C178" t="s">
        <v>354</v>
      </c>
    </row>
    <row r="179" spans="1:3" x14ac:dyDescent="0.3">
      <c r="A179" t="s">
        <v>53</v>
      </c>
      <c r="B179" s="92">
        <v>43478</v>
      </c>
      <c r="C179" t="s">
        <v>183</v>
      </c>
    </row>
    <row r="180" spans="1:3" x14ac:dyDescent="0.3">
      <c r="B180" s="92">
        <v>43492</v>
      </c>
      <c r="C180" t="s">
        <v>355</v>
      </c>
    </row>
    <row r="181" spans="1:3" x14ac:dyDescent="0.3">
      <c r="B181" s="92">
        <v>43505</v>
      </c>
      <c r="C181" t="s">
        <v>184</v>
      </c>
    </row>
    <row r="182" spans="1:3" x14ac:dyDescent="0.3">
      <c r="B182" s="92">
        <v>43540</v>
      </c>
      <c r="C182" t="s">
        <v>356</v>
      </c>
    </row>
    <row r="183" spans="1:3" x14ac:dyDescent="0.3">
      <c r="B183" s="92">
        <v>43582</v>
      </c>
      <c r="C183" t="s">
        <v>357</v>
      </c>
    </row>
    <row r="184" spans="1:3" x14ac:dyDescent="0.3">
      <c r="B184" s="92">
        <v>43681</v>
      </c>
      <c r="C184" t="s">
        <v>358</v>
      </c>
    </row>
    <row r="185" spans="1:3" x14ac:dyDescent="0.3">
      <c r="B185" s="92">
        <v>43682</v>
      </c>
      <c r="C185" t="s">
        <v>359</v>
      </c>
    </row>
    <row r="186" spans="1:3" x14ac:dyDescent="0.3">
      <c r="B186" s="92">
        <v>43694</v>
      </c>
      <c r="C186" t="s">
        <v>360</v>
      </c>
    </row>
    <row r="187" spans="1:3" x14ac:dyDescent="0.3">
      <c r="B187" s="92">
        <v>43699</v>
      </c>
      <c r="C187" t="s">
        <v>190</v>
      </c>
    </row>
    <row r="188" spans="1:3" x14ac:dyDescent="0.3">
      <c r="B188" s="92">
        <v>43701</v>
      </c>
      <c r="C188" t="s">
        <v>361</v>
      </c>
    </row>
    <row r="189" spans="1:3" x14ac:dyDescent="0.3">
      <c r="B189" s="92">
        <v>43702</v>
      </c>
      <c r="C189" t="s">
        <v>362</v>
      </c>
    </row>
    <row r="190" spans="1:3" x14ac:dyDescent="0.3">
      <c r="B190" s="92">
        <v>43703</v>
      </c>
      <c r="C190" t="s">
        <v>363</v>
      </c>
    </row>
    <row r="191" spans="1:3" x14ac:dyDescent="0.3">
      <c r="B191" s="92">
        <v>43704</v>
      </c>
      <c r="C191" t="s">
        <v>364</v>
      </c>
    </row>
    <row r="192" spans="1:3" x14ac:dyDescent="0.3">
      <c r="B192" s="92">
        <v>43709</v>
      </c>
      <c r="C192" t="s">
        <v>365</v>
      </c>
    </row>
    <row r="193" spans="1:3" x14ac:dyDescent="0.3">
      <c r="B193" s="92">
        <v>43715</v>
      </c>
      <c r="C193" t="s">
        <v>366</v>
      </c>
    </row>
    <row r="194" spans="1:3" x14ac:dyDescent="0.3">
      <c r="B194" s="92">
        <v>43756</v>
      </c>
      <c r="C194" t="s">
        <v>367</v>
      </c>
    </row>
    <row r="195" spans="1:3" x14ac:dyDescent="0.3">
      <c r="B195" s="92">
        <v>43757</v>
      </c>
      <c r="C195" t="s">
        <v>368</v>
      </c>
    </row>
    <row r="196" spans="1:3" x14ac:dyDescent="0.3">
      <c r="B196" s="92">
        <v>43764</v>
      </c>
      <c r="C196" t="s">
        <v>369</v>
      </c>
    </row>
    <row r="197" spans="1:3" x14ac:dyDescent="0.3">
      <c r="B197" s="92">
        <v>43767</v>
      </c>
      <c r="C197" t="s">
        <v>370</v>
      </c>
    </row>
    <row r="198" spans="1:3" x14ac:dyDescent="0.3">
      <c r="B198" s="92">
        <v>43771</v>
      </c>
      <c r="C198" t="s">
        <v>371</v>
      </c>
    </row>
    <row r="199" spans="1:3" x14ac:dyDescent="0.3">
      <c r="B199" s="92">
        <v>43782</v>
      </c>
      <c r="C199" t="s">
        <v>372</v>
      </c>
    </row>
    <row r="200" spans="1:3" x14ac:dyDescent="0.3">
      <c r="A200" t="s">
        <v>44</v>
      </c>
      <c r="B200" s="92">
        <v>43492</v>
      </c>
      <c r="C200" t="s">
        <v>373</v>
      </c>
    </row>
    <row r="201" spans="1:3" x14ac:dyDescent="0.3">
      <c r="B201" s="92">
        <v>43495</v>
      </c>
      <c r="C201" t="s">
        <v>374</v>
      </c>
    </row>
    <row r="202" spans="1:3" x14ac:dyDescent="0.3">
      <c r="B202" s="92">
        <v>43513</v>
      </c>
      <c r="C202" t="s">
        <v>375</v>
      </c>
    </row>
    <row r="203" spans="1:3" x14ac:dyDescent="0.3">
      <c r="B203" s="92">
        <v>43526</v>
      </c>
      <c r="C203" t="s">
        <v>376</v>
      </c>
    </row>
    <row r="204" spans="1:3" x14ac:dyDescent="0.3">
      <c r="B204" s="92">
        <v>43547</v>
      </c>
      <c r="C204" t="s">
        <v>377</v>
      </c>
    </row>
    <row r="205" spans="1:3" x14ac:dyDescent="0.3">
      <c r="B205" s="92">
        <v>43553</v>
      </c>
      <c r="C205" t="s">
        <v>378</v>
      </c>
    </row>
    <row r="206" spans="1:3" x14ac:dyDescent="0.3">
      <c r="B206" s="92">
        <v>43554</v>
      </c>
      <c r="C206" t="s">
        <v>379</v>
      </c>
    </row>
    <row r="207" spans="1:3" x14ac:dyDescent="0.3">
      <c r="B207" s="92">
        <v>43574</v>
      </c>
      <c r="C207" t="s">
        <v>380</v>
      </c>
    </row>
    <row r="208" spans="1:3" x14ac:dyDescent="0.3">
      <c r="B208" s="92">
        <v>43575</v>
      </c>
      <c r="C208" t="s">
        <v>381</v>
      </c>
    </row>
    <row r="209" spans="1:3" x14ac:dyDescent="0.3">
      <c r="B209" s="92">
        <v>43581</v>
      </c>
      <c r="C209" t="s">
        <v>382</v>
      </c>
    </row>
    <row r="210" spans="1:3" x14ac:dyDescent="0.3">
      <c r="B210" s="92">
        <v>43583</v>
      </c>
      <c r="C210" t="s">
        <v>383</v>
      </c>
    </row>
    <row r="211" spans="1:3" x14ac:dyDescent="0.3">
      <c r="B211" s="92">
        <v>43585</v>
      </c>
      <c r="C211" t="s">
        <v>384</v>
      </c>
    </row>
    <row r="212" spans="1:3" x14ac:dyDescent="0.3">
      <c r="B212" s="92">
        <v>43593</v>
      </c>
      <c r="C212" t="s">
        <v>385</v>
      </c>
    </row>
    <row r="213" spans="1:3" x14ac:dyDescent="0.3">
      <c r="B213" s="92">
        <v>43622</v>
      </c>
      <c r="C213" t="s">
        <v>386</v>
      </c>
    </row>
    <row r="214" spans="1:3" x14ac:dyDescent="0.3">
      <c r="B214" s="92">
        <v>43625</v>
      </c>
      <c r="C214" t="s">
        <v>190</v>
      </c>
    </row>
    <row r="215" spans="1:3" x14ac:dyDescent="0.3">
      <c r="B215" s="92">
        <v>43652</v>
      </c>
      <c r="C215" t="s">
        <v>387</v>
      </c>
    </row>
    <row r="216" spans="1:3" x14ac:dyDescent="0.3">
      <c r="B216" s="92">
        <v>43666</v>
      </c>
      <c r="C216" t="s">
        <v>388</v>
      </c>
    </row>
    <row r="217" spans="1:3" x14ac:dyDescent="0.3">
      <c r="B217" s="92">
        <v>43680</v>
      </c>
      <c r="C217" t="s">
        <v>389</v>
      </c>
    </row>
    <row r="218" spans="1:3" x14ac:dyDescent="0.3">
      <c r="B218" s="92">
        <v>43688</v>
      </c>
      <c r="C218" t="s">
        <v>189</v>
      </c>
    </row>
    <row r="219" spans="1:3" x14ac:dyDescent="0.3">
      <c r="B219" s="92">
        <v>43694</v>
      </c>
      <c r="C219" t="s">
        <v>390</v>
      </c>
    </row>
    <row r="220" spans="1:3" x14ac:dyDescent="0.3">
      <c r="B220" s="92">
        <v>43714</v>
      </c>
      <c r="C220" t="s">
        <v>391</v>
      </c>
    </row>
    <row r="221" spans="1:3" x14ac:dyDescent="0.3">
      <c r="B221" s="92">
        <v>43757</v>
      </c>
      <c r="C221" t="s">
        <v>392</v>
      </c>
    </row>
    <row r="222" spans="1:3" x14ac:dyDescent="0.3">
      <c r="B222" s="92">
        <v>43766</v>
      </c>
      <c r="C222" t="s">
        <v>393</v>
      </c>
    </row>
    <row r="223" spans="1:3" x14ac:dyDescent="0.3">
      <c r="A223" t="s">
        <v>103</v>
      </c>
      <c r="B223" s="92">
        <v>43506</v>
      </c>
      <c r="C223" t="s">
        <v>11</v>
      </c>
    </row>
    <row r="224" spans="1:3" x14ac:dyDescent="0.3">
      <c r="B224" s="92">
        <v>43527</v>
      </c>
      <c r="C224" t="s">
        <v>394</v>
      </c>
    </row>
    <row r="225" spans="1:3" x14ac:dyDescent="0.3">
      <c r="B225" s="92">
        <v>43554</v>
      </c>
      <c r="C225" t="s">
        <v>395</v>
      </c>
    </row>
    <row r="226" spans="1:3" x14ac:dyDescent="0.3">
      <c r="B226" s="92">
        <v>43559</v>
      </c>
      <c r="C226" t="s">
        <v>250</v>
      </c>
    </row>
    <row r="227" spans="1:3" x14ac:dyDescent="0.3">
      <c r="B227" s="92">
        <v>43582</v>
      </c>
      <c r="C227" t="s">
        <v>396</v>
      </c>
    </row>
    <row r="228" spans="1:3" x14ac:dyDescent="0.3">
      <c r="B228" s="92">
        <v>43604</v>
      </c>
      <c r="C228" t="s">
        <v>397</v>
      </c>
    </row>
    <row r="229" spans="1:3" x14ac:dyDescent="0.3">
      <c r="B229" s="92">
        <v>43611</v>
      </c>
      <c r="C229" t="s">
        <v>398</v>
      </c>
    </row>
    <row r="230" spans="1:3" x14ac:dyDescent="0.3">
      <c r="B230" s="92">
        <v>43685</v>
      </c>
      <c r="C230" t="s">
        <v>399</v>
      </c>
    </row>
    <row r="231" spans="1:3" x14ac:dyDescent="0.3">
      <c r="B231" s="92">
        <v>43738</v>
      </c>
      <c r="C231" t="s">
        <v>400</v>
      </c>
    </row>
    <row r="232" spans="1:3" x14ac:dyDescent="0.3">
      <c r="A232" t="s">
        <v>112</v>
      </c>
      <c r="B232" s="92">
        <v>43540</v>
      </c>
      <c r="C232" t="s">
        <v>224</v>
      </c>
    </row>
    <row r="233" spans="1:3" x14ac:dyDescent="0.3">
      <c r="B233" s="92">
        <v>43599</v>
      </c>
      <c r="C233" t="s">
        <v>183</v>
      </c>
    </row>
    <row r="234" spans="1:3" x14ac:dyDescent="0.3">
      <c r="B234" s="92">
        <v>43721</v>
      </c>
      <c r="C234" t="s">
        <v>401</v>
      </c>
    </row>
    <row r="235" spans="1:3" x14ac:dyDescent="0.3">
      <c r="A235" t="s">
        <v>20</v>
      </c>
      <c r="B235" s="92">
        <v>43491</v>
      </c>
      <c r="C235" t="s">
        <v>402</v>
      </c>
    </row>
    <row r="236" spans="1:3" x14ac:dyDescent="0.3">
      <c r="B236" s="92">
        <v>43499</v>
      </c>
      <c r="C236" t="s">
        <v>403</v>
      </c>
    </row>
    <row r="237" spans="1:3" x14ac:dyDescent="0.3">
      <c r="B237" s="92">
        <v>43500</v>
      </c>
      <c r="C237" t="s">
        <v>400</v>
      </c>
    </row>
    <row r="238" spans="1:3" x14ac:dyDescent="0.3">
      <c r="B238" s="92">
        <v>43505</v>
      </c>
      <c r="C238" t="s">
        <v>404</v>
      </c>
    </row>
    <row r="239" spans="1:3" x14ac:dyDescent="0.3">
      <c r="B239" s="92">
        <v>43512</v>
      </c>
      <c r="C239" t="s">
        <v>405</v>
      </c>
    </row>
    <row r="240" spans="1:3" x14ac:dyDescent="0.3">
      <c r="B240" s="92">
        <v>43520</v>
      </c>
      <c r="C240" t="s">
        <v>406</v>
      </c>
    </row>
    <row r="241" spans="2:3" x14ac:dyDescent="0.3">
      <c r="B241" s="92">
        <v>43533</v>
      </c>
      <c r="C241" t="s">
        <v>407</v>
      </c>
    </row>
    <row r="242" spans="2:3" x14ac:dyDescent="0.3">
      <c r="B242" s="92">
        <v>43540</v>
      </c>
      <c r="C242" t="s">
        <v>408</v>
      </c>
    </row>
    <row r="243" spans="2:3" x14ac:dyDescent="0.3">
      <c r="B243" s="92">
        <v>43547</v>
      </c>
      <c r="C243" t="s">
        <v>409</v>
      </c>
    </row>
    <row r="244" spans="2:3" x14ac:dyDescent="0.3">
      <c r="B244" s="92">
        <v>43554</v>
      </c>
      <c r="C244" t="s">
        <v>410</v>
      </c>
    </row>
    <row r="245" spans="2:3" x14ac:dyDescent="0.3">
      <c r="B245" s="92">
        <v>43559</v>
      </c>
      <c r="C245" t="s">
        <v>411</v>
      </c>
    </row>
    <row r="246" spans="2:3" x14ac:dyDescent="0.3">
      <c r="B246" s="92">
        <v>43562</v>
      </c>
      <c r="C246" t="s">
        <v>412</v>
      </c>
    </row>
    <row r="247" spans="2:3" x14ac:dyDescent="0.3">
      <c r="B247" s="92">
        <v>43574</v>
      </c>
      <c r="C247" t="s">
        <v>224</v>
      </c>
    </row>
    <row r="248" spans="2:3" x14ac:dyDescent="0.3">
      <c r="B248" s="92">
        <v>43575</v>
      </c>
      <c r="C248" t="s">
        <v>413</v>
      </c>
    </row>
    <row r="249" spans="2:3" x14ac:dyDescent="0.3">
      <c r="B249" s="92">
        <v>43588</v>
      </c>
      <c r="C249" t="s">
        <v>414</v>
      </c>
    </row>
    <row r="250" spans="2:3" x14ac:dyDescent="0.3">
      <c r="B250" s="92">
        <v>43593</v>
      </c>
      <c r="C250" t="s">
        <v>415</v>
      </c>
    </row>
    <row r="251" spans="2:3" x14ac:dyDescent="0.3">
      <c r="B251" s="92">
        <v>43596</v>
      </c>
      <c r="C251" t="s">
        <v>416</v>
      </c>
    </row>
    <row r="252" spans="2:3" x14ac:dyDescent="0.3">
      <c r="B252" s="92">
        <v>43597</v>
      </c>
      <c r="C252" t="s">
        <v>417</v>
      </c>
    </row>
    <row r="253" spans="2:3" x14ac:dyDescent="0.3">
      <c r="B253" s="92">
        <v>43610</v>
      </c>
      <c r="C253" t="s">
        <v>418</v>
      </c>
    </row>
    <row r="254" spans="2:3" x14ac:dyDescent="0.3">
      <c r="B254" s="92">
        <v>43618</v>
      </c>
      <c r="C254" t="s">
        <v>419</v>
      </c>
    </row>
    <row r="255" spans="2:3" x14ac:dyDescent="0.3">
      <c r="B255" s="92">
        <v>43620</v>
      </c>
      <c r="C255" t="s">
        <v>420</v>
      </c>
    </row>
    <row r="256" spans="2:3" x14ac:dyDescent="0.3">
      <c r="B256" s="92">
        <v>43625</v>
      </c>
      <c r="C256" t="s">
        <v>421</v>
      </c>
    </row>
    <row r="257" spans="2:3" x14ac:dyDescent="0.3">
      <c r="B257" s="92">
        <v>43631</v>
      </c>
      <c r="C257" t="s">
        <v>422</v>
      </c>
    </row>
    <row r="258" spans="2:3" x14ac:dyDescent="0.3">
      <c r="B258" s="92">
        <v>43639</v>
      </c>
      <c r="C258" t="s">
        <v>423</v>
      </c>
    </row>
    <row r="259" spans="2:3" x14ac:dyDescent="0.3">
      <c r="B259" s="92">
        <v>43645</v>
      </c>
      <c r="C259" t="s">
        <v>424</v>
      </c>
    </row>
    <row r="260" spans="2:3" x14ac:dyDescent="0.3">
      <c r="B260" s="92">
        <v>43649</v>
      </c>
      <c r="C260" t="s">
        <v>250</v>
      </c>
    </row>
    <row r="261" spans="2:3" x14ac:dyDescent="0.3">
      <c r="B261" s="92">
        <v>43651</v>
      </c>
      <c r="C261" t="s">
        <v>425</v>
      </c>
    </row>
    <row r="262" spans="2:3" x14ac:dyDescent="0.3">
      <c r="B262" s="92">
        <v>43652</v>
      </c>
      <c r="C262" t="s">
        <v>426</v>
      </c>
    </row>
    <row r="263" spans="2:3" x14ac:dyDescent="0.3">
      <c r="B263" s="92">
        <v>43653</v>
      </c>
      <c r="C263" t="s">
        <v>427</v>
      </c>
    </row>
    <row r="264" spans="2:3" x14ac:dyDescent="0.3">
      <c r="B264" s="92">
        <v>43658</v>
      </c>
      <c r="C264" t="s">
        <v>428</v>
      </c>
    </row>
    <row r="265" spans="2:3" x14ac:dyDescent="0.3">
      <c r="B265" s="92">
        <v>43659</v>
      </c>
      <c r="C265" t="s">
        <v>429</v>
      </c>
    </row>
    <row r="266" spans="2:3" x14ac:dyDescent="0.3">
      <c r="B266" s="92">
        <v>43660</v>
      </c>
      <c r="C266" t="s">
        <v>430</v>
      </c>
    </row>
    <row r="267" spans="2:3" x14ac:dyDescent="0.3">
      <c r="B267" s="92">
        <v>43666</v>
      </c>
      <c r="C267" t="s">
        <v>431</v>
      </c>
    </row>
    <row r="268" spans="2:3" x14ac:dyDescent="0.3">
      <c r="B268" s="92">
        <v>43681</v>
      </c>
      <c r="C268" t="s">
        <v>432</v>
      </c>
    </row>
    <row r="269" spans="2:3" x14ac:dyDescent="0.3">
      <c r="B269" s="92">
        <v>43687</v>
      </c>
      <c r="C269" t="s">
        <v>433</v>
      </c>
    </row>
    <row r="270" spans="2:3" x14ac:dyDescent="0.3">
      <c r="B270" s="92">
        <v>43688</v>
      </c>
      <c r="C270" t="s">
        <v>434</v>
      </c>
    </row>
    <row r="271" spans="2:3" x14ac:dyDescent="0.3">
      <c r="B271" s="92">
        <v>43694</v>
      </c>
      <c r="C271" t="s">
        <v>435</v>
      </c>
    </row>
    <row r="272" spans="2:3" x14ac:dyDescent="0.3">
      <c r="B272" s="92">
        <v>43695</v>
      </c>
      <c r="C272" t="s">
        <v>436</v>
      </c>
    </row>
    <row r="273" spans="2:3" x14ac:dyDescent="0.3">
      <c r="B273" s="92">
        <v>43704</v>
      </c>
      <c r="C273" t="s">
        <v>437</v>
      </c>
    </row>
    <row r="274" spans="2:3" x14ac:dyDescent="0.3">
      <c r="B274" s="92">
        <v>43708</v>
      </c>
      <c r="C274" t="s">
        <v>438</v>
      </c>
    </row>
    <row r="275" spans="2:3" x14ac:dyDescent="0.3">
      <c r="B275" s="92">
        <v>43709</v>
      </c>
      <c r="C275" t="s">
        <v>439</v>
      </c>
    </row>
    <row r="276" spans="2:3" x14ac:dyDescent="0.3">
      <c r="B276" s="92">
        <v>43710</v>
      </c>
      <c r="C276" t="s">
        <v>440</v>
      </c>
    </row>
    <row r="277" spans="2:3" x14ac:dyDescent="0.3">
      <c r="B277" s="92">
        <v>43711</v>
      </c>
      <c r="C277" t="s">
        <v>441</v>
      </c>
    </row>
    <row r="278" spans="2:3" x14ac:dyDescent="0.3">
      <c r="B278" s="92">
        <v>43712</v>
      </c>
      <c r="C278" t="s">
        <v>442</v>
      </c>
    </row>
    <row r="279" spans="2:3" x14ac:dyDescent="0.3">
      <c r="B279" s="92">
        <v>43713</v>
      </c>
      <c r="C279" t="s">
        <v>443</v>
      </c>
    </row>
    <row r="280" spans="2:3" x14ac:dyDescent="0.3">
      <c r="B280" s="92">
        <v>43716</v>
      </c>
      <c r="C280" t="s">
        <v>444</v>
      </c>
    </row>
    <row r="281" spans="2:3" x14ac:dyDescent="0.3">
      <c r="B281" s="92">
        <v>43723</v>
      </c>
      <c r="C281" t="s">
        <v>445</v>
      </c>
    </row>
    <row r="282" spans="2:3" x14ac:dyDescent="0.3">
      <c r="B282" s="92">
        <v>43731</v>
      </c>
      <c r="C282" t="s">
        <v>710</v>
      </c>
    </row>
    <row r="283" spans="2:3" x14ac:dyDescent="0.3">
      <c r="B283" s="92">
        <v>43736</v>
      </c>
      <c r="C283" t="s">
        <v>447</v>
      </c>
    </row>
    <row r="284" spans="2:3" x14ac:dyDescent="0.3">
      <c r="B284" s="92">
        <v>43737</v>
      </c>
      <c r="C284" t="s">
        <v>448</v>
      </c>
    </row>
    <row r="285" spans="2:3" x14ac:dyDescent="0.3">
      <c r="B285" s="92">
        <v>43743</v>
      </c>
      <c r="C285" t="s">
        <v>449</v>
      </c>
    </row>
    <row r="286" spans="2:3" x14ac:dyDescent="0.3">
      <c r="B286" s="92">
        <v>43744</v>
      </c>
      <c r="C286" t="s">
        <v>450</v>
      </c>
    </row>
    <row r="287" spans="2:3" x14ac:dyDescent="0.3">
      <c r="B287" s="92">
        <v>43749</v>
      </c>
      <c r="C287" t="s">
        <v>451</v>
      </c>
    </row>
    <row r="288" spans="2:3" x14ac:dyDescent="0.3">
      <c r="B288" s="92">
        <v>43754</v>
      </c>
      <c r="C288" t="s">
        <v>452</v>
      </c>
    </row>
    <row r="289" spans="1:3" x14ac:dyDescent="0.3">
      <c r="B289" s="92">
        <v>43758</v>
      </c>
      <c r="C289" t="s">
        <v>453</v>
      </c>
    </row>
    <row r="290" spans="1:3" x14ac:dyDescent="0.3">
      <c r="B290" s="92">
        <v>43761</v>
      </c>
      <c r="C290" t="s">
        <v>454</v>
      </c>
    </row>
    <row r="291" spans="1:3" x14ac:dyDescent="0.3">
      <c r="B291" s="92">
        <v>43762</v>
      </c>
      <c r="C291" t="s">
        <v>455</v>
      </c>
    </row>
    <row r="292" spans="1:3" x14ac:dyDescent="0.3">
      <c r="B292" s="92">
        <v>43764</v>
      </c>
      <c r="C292" t="s">
        <v>456</v>
      </c>
    </row>
    <row r="293" spans="1:3" x14ac:dyDescent="0.3">
      <c r="B293" s="92">
        <v>43765</v>
      </c>
      <c r="C293" t="s">
        <v>457</v>
      </c>
    </row>
    <row r="294" spans="1:3" x14ac:dyDescent="0.3">
      <c r="B294" s="92">
        <v>43766</v>
      </c>
      <c r="C294" t="s">
        <v>458</v>
      </c>
    </row>
    <row r="295" spans="1:3" x14ac:dyDescent="0.3">
      <c r="B295" s="92">
        <v>43769</v>
      </c>
      <c r="C295" t="s">
        <v>459</v>
      </c>
    </row>
    <row r="296" spans="1:3" x14ac:dyDescent="0.3">
      <c r="B296" s="92">
        <v>43772</v>
      </c>
      <c r="C296" t="s">
        <v>460</v>
      </c>
    </row>
    <row r="297" spans="1:3" x14ac:dyDescent="0.3">
      <c r="B297" s="92">
        <v>43778</v>
      </c>
      <c r="C297" t="s">
        <v>461</v>
      </c>
    </row>
    <row r="298" spans="1:3" x14ac:dyDescent="0.3">
      <c r="B298" s="92">
        <v>43779</v>
      </c>
      <c r="C298" t="s">
        <v>462</v>
      </c>
    </row>
    <row r="299" spans="1:3" x14ac:dyDescent="0.3">
      <c r="B299" s="92">
        <v>43783</v>
      </c>
      <c r="C299" t="s">
        <v>463</v>
      </c>
    </row>
    <row r="300" spans="1:3" x14ac:dyDescent="0.3">
      <c r="B300" s="92">
        <v>43784</v>
      </c>
      <c r="C300" t="s">
        <v>464</v>
      </c>
    </row>
    <row r="301" spans="1:3" x14ac:dyDescent="0.3">
      <c r="A301" t="s">
        <v>100</v>
      </c>
      <c r="B301" s="92">
        <v>43589</v>
      </c>
      <c r="C301" t="s">
        <v>465</v>
      </c>
    </row>
    <row r="302" spans="1:3" x14ac:dyDescent="0.3">
      <c r="B302" s="92">
        <v>43774</v>
      </c>
      <c r="C302" t="s">
        <v>466</v>
      </c>
    </row>
    <row r="303" spans="1:3" x14ac:dyDescent="0.3">
      <c r="A303" t="s">
        <v>145</v>
      </c>
      <c r="B303" s="92">
        <v>43596</v>
      </c>
      <c r="C303" t="s">
        <v>190</v>
      </c>
    </row>
    <row r="304" spans="1:3" x14ac:dyDescent="0.3">
      <c r="B304" s="92">
        <v>43597</v>
      </c>
      <c r="C304" t="s">
        <v>467</v>
      </c>
    </row>
    <row r="305" spans="1:3" x14ac:dyDescent="0.3">
      <c r="A305" t="s">
        <v>35</v>
      </c>
      <c r="B305" s="92">
        <v>43485</v>
      </c>
      <c r="C305" t="s">
        <v>224</v>
      </c>
    </row>
    <row r="306" spans="1:3" x14ac:dyDescent="0.3">
      <c r="B306" s="92">
        <v>43491</v>
      </c>
      <c r="C306" t="s">
        <v>468</v>
      </c>
    </row>
    <row r="307" spans="1:3" x14ac:dyDescent="0.3">
      <c r="B307" s="92">
        <v>43513</v>
      </c>
      <c r="C307" t="s">
        <v>229</v>
      </c>
    </row>
    <row r="308" spans="1:3" x14ac:dyDescent="0.3">
      <c r="B308" s="92">
        <v>43519</v>
      </c>
      <c r="C308" t="s">
        <v>246</v>
      </c>
    </row>
    <row r="309" spans="1:3" x14ac:dyDescent="0.3">
      <c r="B309" s="92">
        <v>43533</v>
      </c>
      <c r="C309" t="s">
        <v>469</v>
      </c>
    </row>
    <row r="310" spans="1:3" x14ac:dyDescent="0.3">
      <c r="B310" s="92">
        <v>43565</v>
      </c>
      <c r="C310" t="s">
        <v>470</v>
      </c>
    </row>
    <row r="311" spans="1:3" x14ac:dyDescent="0.3">
      <c r="B311" s="92">
        <v>43574</v>
      </c>
      <c r="C311" t="s">
        <v>236</v>
      </c>
    </row>
    <row r="312" spans="1:3" x14ac:dyDescent="0.3">
      <c r="B312" s="92">
        <v>43582</v>
      </c>
      <c r="C312" t="s">
        <v>471</v>
      </c>
    </row>
    <row r="313" spans="1:3" x14ac:dyDescent="0.3">
      <c r="B313" s="92">
        <v>43617</v>
      </c>
      <c r="C313" t="s">
        <v>472</v>
      </c>
    </row>
    <row r="314" spans="1:3" x14ac:dyDescent="0.3">
      <c r="B314" s="92">
        <v>43620</v>
      </c>
      <c r="C314" t="s">
        <v>241</v>
      </c>
    </row>
    <row r="315" spans="1:3" x14ac:dyDescent="0.3">
      <c r="B315" s="92">
        <v>43621</v>
      </c>
      <c r="C315" t="s">
        <v>242</v>
      </c>
    </row>
    <row r="316" spans="1:3" x14ac:dyDescent="0.3">
      <c r="B316" s="92">
        <v>43653</v>
      </c>
      <c r="C316" t="s">
        <v>473</v>
      </c>
    </row>
    <row r="317" spans="1:3" x14ac:dyDescent="0.3">
      <c r="B317" s="92">
        <v>43667</v>
      </c>
      <c r="C317" t="s">
        <v>474</v>
      </c>
    </row>
    <row r="318" spans="1:3" x14ac:dyDescent="0.3">
      <c r="B318" s="92">
        <v>43677</v>
      </c>
      <c r="C318" t="s">
        <v>475</v>
      </c>
    </row>
    <row r="319" spans="1:3" x14ac:dyDescent="0.3">
      <c r="B319" s="92">
        <v>43681</v>
      </c>
      <c r="C319" t="s">
        <v>245</v>
      </c>
    </row>
    <row r="320" spans="1:3" x14ac:dyDescent="0.3">
      <c r="B320" s="92">
        <v>43683</v>
      </c>
      <c r="C320" t="s">
        <v>476</v>
      </c>
    </row>
    <row r="321" spans="1:3" x14ac:dyDescent="0.3">
      <c r="B321" s="92">
        <v>43684</v>
      </c>
      <c r="C321" t="s">
        <v>477</v>
      </c>
    </row>
    <row r="322" spans="1:3" x14ac:dyDescent="0.3">
      <c r="B322" s="92">
        <v>43685</v>
      </c>
      <c r="C322" t="s">
        <v>478</v>
      </c>
    </row>
    <row r="323" spans="1:3" x14ac:dyDescent="0.3">
      <c r="B323" s="92">
        <v>43686</v>
      </c>
      <c r="C323" t="s">
        <v>479</v>
      </c>
    </row>
    <row r="324" spans="1:3" x14ac:dyDescent="0.3">
      <c r="B324" s="92">
        <v>43696</v>
      </c>
      <c r="C324" t="s">
        <v>480</v>
      </c>
    </row>
    <row r="325" spans="1:3" x14ac:dyDescent="0.3">
      <c r="B325" s="92">
        <v>43699</v>
      </c>
      <c r="C325" t="s">
        <v>481</v>
      </c>
    </row>
    <row r="326" spans="1:3" x14ac:dyDescent="0.3">
      <c r="B326" s="92">
        <v>43708</v>
      </c>
      <c r="C326" t="s">
        <v>250</v>
      </c>
    </row>
    <row r="327" spans="1:3" x14ac:dyDescent="0.3">
      <c r="B327" s="92">
        <v>43729</v>
      </c>
      <c r="C327" t="s">
        <v>482</v>
      </c>
    </row>
    <row r="328" spans="1:3" x14ac:dyDescent="0.3">
      <c r="B328" s="92">
        <v>43733</v>
      </c>
      <c r="C328" t="s">
        <v>483</v>
      </c>
    </row>
    <row r="329" spans="1:3" x14ac:dyDescent="0.3">
      <c r="B329" s="92">
        <v>43744</v>
      </c>
      <c r="C329" t="s">
        <v>484</v>
      </c>
    </row>
    <row r="330" spans="1:3" x14ac:dyDescent="0.3">
      <c r="B330" s="92">
        <v>43757</v>
      </c>
      <c r="C330" t="s">
        <v>485</v>
      </c>
    </row>
    <row r="331" spans="1:3" x14ac:dyDescent="0.3">
      <c r="B331" s="92">
        <v>43765</v>
      </c>
      <c r="C331" t="s">
        <v>486</v>
      </c>
    </row>
    <row r="332" spans="1:3" x14ac:dyDescent="0.3">
      <c r="B332" s="92">
        <v>43772</v>
      </c>
      <c r="C332" t="s">
        <v>487</v>
      </c>
    </row>
    <row r="333" spans="1:3" x14ac:dyDescent="0.3">
      <c r="A333" t="s">
        <v>38</v>
      </c>
      <c r="B333" s="92">
        <v>43478</v>
      </c>
      <c r="C333" t="s">
        <v>488</v>
      </c>
    </row>
    <row r="334" spans="1:3" x14ac:dyDescent="0.3">
      <c r="B334" s="92">
        <v>43485</v>
      </c>
      <c r="C334" t="s">
        <v>489</v>
      </c>
    </row>
    <row r="335" spans="1:3" x14ac:dyDescent="0.3">
      <c r="B335" s="92">
        <v>43486</v>
      </c>
      <c r="C335" t="s">
        <v>490</v>
      </c>
    </row>
    <row r="336" spans="1:3" x14ac:dyDescent="0.3">
      <c r="B336" s="92">
        <v>43491</v>
      </c>
      <c r="C336" t="s">
        <v>491</v>
      </c>
    </row>
    <row r="337" spans="2:3" x14ac:dyDescent="0.3">
      <c r="B337" s="92">
        <v>43492</v>
      </c>
      <c r="C337" t="s">
        <v>492</v>
      </c>
    </row>
    <row r="338" spans="2:3" x14ac:dyDescent="0.3">
      <c r="B338" s="92">
        <v>43498</v>
      </c>
      <c r="C338" t="s">
        <v>250</v>
      </c>
    </row>
    <row r="339" spans="2:3" x14ac:dyDescent="0.3">
      <c r="B339" s="92">
        <v>43501</v>
      </c>
      <c r="C339" t="s">
        <v>493</v>
      </c>
    </row>
    <row r="340" spans="2:3" x14ac:dyDescent="0.3">
      <c r="B340" s="92">
        <v>43506</v>
      </c>
      <c r="C340" t="s">
        <v>494</v>
      </c>
    </row>
    <row r="341" spans="2:3" x14ac:dyDescent="0.3">
      <c r="B341" s="92">
        <v>43516</v>
      </c>
      <c r="C341" t="s">
        <v>495</v>
      </c>
    </row>
    <row r="342" spans="2:3" x14ac:dyDescent="0.3">
      <c r="B342" s="92">
        <v>43517</v>
      </c>
      <c r="C342" t="s">
        <v>496</v>
      </c>
    </row>
    <row r="343" spans="2:3" x14ac:dyDescent="0.3">
      <c r="B343" s="92">
        <v>43526</v>
      </c>
      <c r="C343" t="s">
        <v>394</v>
      </c>
    </row>
    <row r="344" spans="2:3" x14ac:dyDescent="0.3">
      <c r="B344" s="92">
        <v>43527</v>
      </c>
      <c r="C344" t="s">
        <v>11</v>
      </c>
    </row>
    <row r="345" spans="2:3" x14ac:dyDescent="0.3">
      <c r="B345" s="92">
        <v>43533</v>
      </c>
      <c r="C345" t="s">
        <v>497</v>
      </c>
    </row>
    <row r="346" spans="2:3" x14ac:dyDescent="0.3">
      <c r="B346" s="92">
        <v>43547</v>
      </c>
      <c r="C346" t="s">
        <v>498</v>
      </c>
    </row>
    <row r="347" spans="2:3" x14ac:dyDescent="0.3">
      <c r="B347" s="92">
        <v>43554</v>
      </c>
      <c r="C347" t="s">
        <v>404</v>
      </c>
    </row>
    <row r="348" spans="2:3" x14ac:dyDescent="0.3">
      <c r="B348" s="92">
        <v>43555</v>
      </c>
      <c r="C348" t="s">
        <v>499</v>
      </c>
    </row>
    <row r="349" spans="2:3" x14ac:dyDescent="0.3">
      <c r="B349" s="92">
        <v>43562</v>
      </c>
      <c r="C349" t="s">
        <v>500</v>
      </c>
    </row>
    <row r="350" spans="2:3" x14ac:dyDescent="0.3">
      <c r="B350" s="92">
        <v>43577</v>
      </c>
      <c r="C350" t="s">
        <v>501</v>
      </c>
    </row>
    <row r="351" spans="2:3" x14ac:dyDescent="0.3">
      <c r="B351" s="92">
        <v>43582</v>
      </c>
      <c r="C351" t="s">
        <v>396</v>
      </c>
    </row>
    <row r="352" spans="2:3" x14ac:dyDescent="0.3">
      <c r="B352" s="92">
        <v>43590</v>
      </c>
      <c r="C352" t="s">
        <v>502</v>
      </c>
    </row>
    <row r="353" spans="1:3" x14ac:dyDescent="0.3">
      <c r="B353" s="92">
        <v>43592</v>
      </c>
      <c r="C353" t="s">
        <v>503</v>
      </c>
    </row>
    <row r="354" spans="1:3" x14ac:dyDescent="0.3">
      <c r="B354" s="92">
        <v>43596</v>
      </c>
      <c r="C354" t="s">
        <v>504</v>
      </c>
    </row>
    <row r="355" spans="1:3" x14ac:dyDescent="0.3">
      <c r="B355" s="92">
        <v>43597</v>
      </c>
      <c r="C355" t="s">
        <v>505</v>
      </c>
    </row>
    <row r="356" spans="1:3" x14ac:dyDescent="0.3">
      <c r="B356" s="92">
        <v>43603</v>
      </c>
      <c r="C356" t="s">
        <v>506</v>
      </c>
    </row>
    <row r="357" spans="1:3" x14ac:dyDescent="0.3">
      <c r="B357" s="92">
        <v>43610</v>
      </c>
      <c r="C357" t="s">
        <v>191</v>
      </c>
    </row>
    <row r="358" spans="1:3" x14ac:dyDescent="0.3">
      <c r="B358" s="92">
        <v>43617</v>
      </c>
      <c r="C358" t="s">
        <v>507</v>
      </c>
    </row>
    <row r="359" spans="1:3" x14ac:dyDescent="0.3">
      <c r="B359" s="92">
        <v>43625</v>
      </c>
      <c r="C359" t="s">
        <v>508</v>
      </c>
    </row>
    <row r="360" spans="1:3" x14ac:dyDescent="0.3">
      <c r="B360" s="92">
        <v>43646</v>
      </c>
      <c r="C360" t="s">
        <v>509</v>
      </c>
    </row>
    <row r="361" spans="1:3" x14ac:dyDescent="0.3">
      <c r="B361" s="92">
        <v>43666</v>
      </c>
      <c r="C361" t="s">
        <v>510</v>
      </c>
    </row>
    <row r="362" spans="1:3" x14ac:dyDescent="0.3">
      <c r="B362" s="92">
        <v>43708</v>
      </c>
      <c r="C362" t="s">
        <v>511</v>
      </c>
    </row>
    <row r="363" spans="1:3" x14ac:dyDescent="0.3">
      <c r="B363" s="92">
        <v>43738</v>
      </c>
      <c r="C363" t="s">
        <v>512</v>
      </c>
    </row>
    <row r="364" spans="1:3" x14ac:dyDescent="0.3">
      <c r="B364" s="92">
        <v>43771</v>
      </c>
      <c r="C364" t="s">
        <v>513</v>
      </c>
    </row>
    <row r="365" spans="1:3" x14ac:dyDescent="0.3">
      <c r="B365" s="92">
        <v>43779</v>
      </c>
      <c r="C365" t="s">
        <v>514</v>
      </c>
    </row>
    <row r="366" spans="1:3" x14ac:dyDescent="0.3">
      <c r="A366" t="s">
        <v>163</v>
      </c>
      <c r="B366" s="92">
        <v>43511</v>
      </c>
      <c r="C366" t="s">
        <v>515</v>
      </c>
    </row>
    <row r="367" spans="1:3" x14ac:dyDescent="0.3">
      <c r="A367" t="s">
        <v>26</v>
      </c>
      <c r="B367" s="92">
        <v>43469</v>
      </c>
      <c r="C367" t="s">
        <v>516</v>
      </c>
    </row>
    <row r="368" spans="1:3" x14ac:dyDescent="0.3">
      <c r="B368" s="92">
        <v>43476</v>
      </c>
      <c r="C368" t="s">
        <v>517</v>
      </c>
    </row>
    <row r="369" spans="2:3" x14ac:dyDescent="0.3">
      <c r="B369" s="92">
        <v>43485</v>
      </c>
      <c r="C369" t="s">
        <v>518</v>
      </c>
    </row>
    <row r="370" spans="2:3" x14ac:dyDescent="0.3">
      <c r="B370" s="92">
        <v>43488</v>
      </c>
      <c r="C370" t="s">
        <v>519</v>
      </c>
    </row>
    <row r="371" spans="2:3" x14ac:dyDescent="0.3">
      <c r="B371" s="92">
        <v>43492</v>
      </c>
      <c r="C371" t="s">
        <v>520</v>
      </c>
    </row>
    <row r="372" spans="2:3" x14ac:dyDescent="0.3">
      <c r="B372" s="92">
        <v>43502</v>
      </c>
      <c r="C372" t="s">
        <v>521</v>
      </c>
    </row>
    <row r="373" spans="2:3" x14ac:dyDescent="0.3">
      <c r="B373" s="92">
        <v>43503</v>
      </c>
      <c r="C373" t="s">
        <v>522</v>
      </c>
    </row>
    <row r="374" spans="2:3" x14ac:dyDescent="0.3">
      <c r="B374" s="92">
        <v>43505</v>
      </c>
      <c r="C374" t="s">
        <v>523</v>
      </c>
    </row>
    <row r="375" spans="2:3" x14ac:dyDescent="0.3">
      <c r="B375" s="92">
        <v>43512</v>
      </c>
      <c r="C375" t="s">
        <v>524</v>
      </c>
    </row>
    <row r="376" spans="2:3" x14ac:dyDescent="0.3">
      <c r="C376" t="s">
        <v>525</v>
      </c>
    </row>
    <row r="377" spans="2:3" x14ac:dyDescent="0.3">
      <c r="B377" s="92">
        <v>43513</v>
      </c>
      <c r="C377" t="s">
        <v>526</v>
      </c>
    </row>
    <row r="378" spans="2:3" x14ac:dyDescent="0.3">
      <c r="B378" s="92">
        <v>43519</v>
      </c>
      <c r="C378" t="s">
        <v>527</v>
      </c>
    </row>
    <row r="379" spans="2:3" x14ac:dyDescent="0.3">
      <c r="B379" s="92">
        <v>43520</v>
      </c>
      <c r="C379" t="s">
        <v>528</v>
      </c>
    </row>
    <row r="380" spans="2:3" x14ac:dyDescent="0.3">
      <c r="C380" t="s">
        <v>529</v>
      </c>
    </row>
    <row r="381" spans="2:3" x14ac:dyDescent="0.3">
      <c r="B381" s="92">
        <v>43522</v>
      </c>
      <c r="C381" t="s">
        <v>530</v>
      </c>
    </row>
    <row r="382" spans="2:3" x14ac:dyDescent="0.3">
      <c r="B382" s="92">
        <v>43526</v>
      </c>
      <c r="C382" t="s">
        <v>531</v>
      </c>
    </row>
    <row r="383" spans="2:3" x14ac:dyDescent="0.3">
      <c r="B383" s="92">
        <v>43533</v>
      </c>
      <c r="C383" t="s">
        <v>532</v>
      </c>
    </row>
    <row r="384" spans="2:3" x14ac:dyDescent="0.3">
      <c r="B384" s="92">
        <v>43541</v>
      </c>
      <c r="C384" t="s">
        <v>533</v>
      </c>
    </row>
    <row r="385" spans="2:3" x14ac:dyDescent="0.3">
      <c r="B385" s="92">
        <v>43545</v>
      </c>
      <c r="C385" t="s">
        <v>534</v>
      </c>
    </row>
    <row r="386" spans="2:3" x14ac:dyDescent="0.3">
      <c r="B386" s="92">
        <v>43547</v>
      </c>
      <c r="C386" t="s">
        <v>535</v>
      </c>
    </row>
    <row r="387" spans="2:3" x14ac:dyDescent="0.3">
      <c r="B387" s="92">
        <v>43548</v>
      </c>
      <c r="C387" t="s">
        <v>536</v>
      </c>
    </row>
    <row r="388" spans="2:3" x14ac:dyDescent="0.3">
      <c r="B388" s="92">
        <v>43555</v>
      </c>
      <c r="C388" t="s">
        <v>537</v>
      </c>
    </row>
    <row r="389" spans="2:3" x14ac:dyDescent="0.3">
      <c r="B389" s="92">
        <v>43561</v>
      </c>
      <c r="C389" t="s">
        <v>538</v>
      </c>
    </row>
    <row r="390" spans="2:3" x14ac:dyDescent="0.3">
      <c r="B390" s="92">
        <v>43569</v>
      </c>
      <c r="C390" t="s">
        <v>539</v>
      </c>
    </row>
    <row r="391" spans="2:3" x14ac:dyDescent="0.3">
      <c r="B391" s="92">
        <v>43576</v>
      </c>
      <c r="C391" t="s">
        <v>540</v>
      </c>
    </row>
    <row r="392" spans="2:3" x14ac:dyDescent="0.3">
      <c r="B392" s="92">
        <v>43577</v>
      </c>
      <c r="C392" t="s">
        <v>541</v>
      </c>
    </row>
    <row r="393" spans="2:3" x14ac:dyDescent="0.3">
      <c r="B393" s="92">
        <v>43582</v>
      </c>
      <c r="C393" t="s">
        <v>542</v>
      </c>
    </row>
    <row r="394" spans="2:3" x14ac:dyDescent="0.3">
      <c r="B394" s="92">
        <v>43583</v>
      </c>
      <c r="C394" t="s">
        <v>543</v>
      </c>
    </row>
    <row r="395" spans="2:3" x14ac:dyDescent="0.3">
      <c r="B395" s="92">
        <v>43586</v>
      </c>
      <c r="C395" t="s">
        <v>544</v>
      </c>
    </row>
    <row r="396" spans="2:3" x14ac:dyDescent="0.3">
      <c r="B396" s="92">
        <v>43589</v>
      </c>
      <c r="C396" t="s">
        <v>545</v>
      </c>
    </row>
    <row r="397" spans="2:3" x14ac:dyDescent="0.3">
      <c r="B397" s="92">
        <v>43596</v>
      </c>
      <c r="C397" t="s">
        <v>546</v>
      </c>
    </row>
    <row r="398" spans="2:3" x14ac:dyDescent="0.3">
      <c r="B398" s="92">
        <v>43604</v>
      </c>
      <c r="C398" t="s">
        <v>547</v>
      </c>
    </row>
    <row r="399" spans="2:3" x14ac:dyDescent="0.3">
      <c r="B399" s="92">
        <v>43610</v>
      </c>
      <c r="C399" t="s">
        <v>548</v>
      </c>
    </row>
    <row r="400" spans="2:3" x14ac:dyDescent="0.3">
      <c r="B400" s="92">
        <v>43611</v>
      </c>
      <c r="C400" t="s">
        <v>549</v>
      </c>
    </row>
    <row r="401" spans="2:3" x14ac:dyDescent="0.3">
      <c r="B401" s="92">
        <v>43617</v>
      </c>
      <c r="C401" t="s">
        <v>472</v>
      </c>
    </row>
    <row r="402" spans="2:3" x14ac:dyDescent="0.3">
      <c r="B402" s="92">
        <v>43620</v>
      </c>
      <c r="C402" t="s">
        <v>241</v>
      </c>
    </row>
    <row r="403" spans="2:3" x14ac:dyDescent="0.3">
      <c r="B403" s="92">
        <v>43621</v>
      </c>
      <c r="C403" t="s">
        <v>550</v>
      </c>
    </row>
    <row r="404" spans="2:3" x14ac:dyDescent="0.3">
      <c r="B404" s="92">
        <v>43631</v>
      </c>
      <c r="C404" t="s">
        <v>551</v>
      </c>
    </row>
    <row r="405" spans="2:3" x14ac:dyDescent="0.3">
      <c r="B405" s="92">
        <v>43638</v>
      </c>
      <c r="C405" t="s">
        <v>552</v>
      </c>
    </row>
    <row r="406" spans="2:3" x14ac:dyDescent="0.3">
      <c r="B406" s="92">
        <v>43645</v>
      </c>
      <c r="C406" t="s">
        <v>553</v>
      </c>
    </row>
    <row r="407" spans="2:3" x14ac:dyDescent="0.3">
      <c r="B407" s="92">
        <v>43652</v>
      </c>
      <c r="C407" t="s">
        <v>554</v>
      </c>
    </row>
    <row r="408" spans="2:3" x14ac:dyDescent="0.3">
      <c r="B408" s="92">
        <v>43683</v>
      </c>
      <c r="C408" t="s">
        <v>555</v>
      </c>
    </row>
    <row r="409" spans="2:3" x14ac:dyDescent="0.3">
      <c r="B409" s="92">
        <v>43684</v>
      </c>
      <c r="C409" t="s">
        <v>556</v>
      </c>
    </row>
    <row r="410" spans="2:3" x14ac:dyDescent="0.3">
      <c r="B410" s="92">
        <v>43695</v>
      </c>
      <c r="C410" t="s">
        <v>557</v>
      </c>
    </row>
    <row r="411" spans="2:3" x14ac:dyDescent="0.3">
      <c r="B411" s="92">
        <v>43718</v>
      </c>
      <c r="C411" t="s">
        <v>558</v>
      </c>
    </row>
    <row r="412" spans="2:3" x14ac:dyDescent="0.3">
      <c r="B412" s="92">
        <v>43726</v>
      </c>
      <c r="C412" t="s">
        <v>559</v>
      </c>
    </row>
    <row r="413" spans="2:3" x14ac:dyDescent="0.3">
      <c r="B413" s="92">
        <v>43737</v>
      </c>
      <c r="C413" t="s">
        <v>560</v>
      </c>
    </row>
    <row r="414" spans="2:3" x14ac:dyDescent="0.3">
      <c r="B414" s="92">
        <v>43738</v>
      </c>
      <c r="C414" t="s">
        <v>561</v>
      </c>
    </row>
    <row r="415" spans="2:3" x14ac:dyDescent="0.3">
      <c r="B415" s="92">
        <v>43758</v>
      </c>
      <c r="C415" t="s">
        <v>562</v>
      </c>
    </row>
    <row r="416" spans="2:3" x14ac:dyDescent="0.3">
      <c r="B416" s="92">
        <v>43766</v>
      </c>
      <c r="C416" t="s">
        <v>563</v>
      </c>
    </row>
    <row r="417" spans="1:3" x14ac:dyDescent="0.3">
      <c r="B417" s="92">
        <v>43772</v>
      </c>
      <c r="C417" t="s">
        <v>564</v>
      </c>
    </row>
    <row r="418" spans="1:3" x14ac:dyDescent="0.3">
      <c r="B418" s="92">
        <v>43778</v>
      </c>
      <c r="C418" t="s">
        <v>565</v>
      </c>
    </row>
    <row r="419" spans="1:3" x14ac:dyDescent="0.3">
      <c r="B419" s="92">
        <v>43784</v>
      </c>
      <c r="C419" t="s">
        <v>566</v>
      </c>
    </row>
    <row r="420" spans="1:3" x14ac:dyDescent="0.3">
      <c r="A420" t="s">
        <v>41</v>
      </c>
      <c r="B420" s="92">
        <v>43541</v>
      </c>
      <c r="C420" t="s">
        <v>567</v>
      </c>
    </row>
    <row r="421" spans="1:3" x14ac:dyDescent="0.3">
      <c r="B421" s="92">
        <v>43561</v>
      </c>
      <c r="C421" t="s">
        <v>568</v>
      </c>
    </row>
    <row r="422" spans="1:3" x14ac:dyDescent="0.3">
      <c r="B422" s="92">
        <v>43568</v>
      </c>
      <c r="C422" t="s">
        <v>569</v>
      </c>
    </row>
    <row r="423" spans="1:3" x14ac:dyDescent="0.3">
      <c r="B423" s="92">
        <v>43577</v>
      </c>
      <c r="C423" t="s">
        <v>570</v>
      </c>
    </row>
    <row r="424" spans="1:3" x14ac:dyDescent="0.3">
      <c r="B424" s="92">
        <v>43593</v>
      </c>
      <c r="C424" t="s">
        <v>403</v>
      </c>
    </row>
    <row r="425" spans="1:3" x14ac:dyDescent="0.3">
      <c r="B425" s="92">
        <v>43599</v>
      </c>
      <c r="C425" t="s">
        <v>571</v>
      </c>
    </row>
    <row r="426" spans="1:3" x14ac:dyDescent="0.3">
      <c r="B426" s="92">
        <v>43603</v>
      </c>
      <c r="C426" t="s">
        <v>572</v>
      </c>
    </row>
    <row r="427" spans="1:3" x14ac:dyDescent="0.3">
      <c r="B427" s="92">
        <v>43610</v>
      </c>
      <c r="C427" t="s">
        <v>573</v>
      </c>
    </row>
    <row r="428" spans="1:3" x14ac:dyDescent="0.3">
      <c r="B428" s="92">
        <v>43625</v>
      </c>
      <c r="C428" t="s">
        <v>574</v>
      </c>
    </row>
    <row r="429" spans="1:3" x14ac:dyDescent="0.3">
      <c r="B429" s="92">
        <v>43653</v>
      </c>
      <c r="C429" t="s">
        <v>575</v>
      </c>
    </row>
    <row r="430" spans="1:3" x14ac:dyDescent="0.3">
      <c r="B430" s="92">
        <v>43657</v>
      </c>
      <c r="C430" t="s">
        <v>576</v>
      </c>
    </row>
    <row r="431" spans="1:3" x14ac:dyDescent="0.3">
      <c r="B431" s="92">
        <v>43674</v>
      </c>
      <c r="C431" t="s">
        <v>577</v>
      </c>
    </row>
    <row r="432" spans="1:3" x14ac:dyDescent="0.3">
      <c r="B432" s="92">
        <v>43680</v>
      </c>
      <c r="C432" t="s">
        <v>578</v>
      </c>
    </row>
    <row r="433" spans="1:3" x14ac:dyDescent="0.3">
      <c r="B433" s="92">
        <v>43687</v>
      </c>
      <c r="C433" t="s">
        <v>579</v>
      </c>
    </row>
    <row r="434" spans="1:3" x14ac:dyDescent="0.3">
      <c r="B434" s="92">
        <v>43694</v>
      </c>
      <c r="C434" t="s">
        <v>580</v>
      </c>
    </row>
    <row r="435" spans="1:3" x14ac:dyDescent="0.3">
      <c r="B435" s="92">
        <v>43716</v>
      </c>
      <c r="C435" t="s">
        <v>581</v>
      </c>
    </row>
    <row r="436" spans="1:3" x14ac:dyDescent="0.3">
      <c r="B436" s="92">
        <v>43725</v>
      </c>
      <c r="C436" t="s">
        <v>582</v>
      </c>
    </row>
    <row r="437" spans="1:3" x14ac:dyDescent="0.3">
      <c r="B437" s="92">
        <v>43728</v>
      </c>
      <c r="C437" t="s">
        <v>583</v>
      </c>
    </row>
    <row r="438" spans="1:3" x14ac:dyDescent="0.3">
      <c r="B438" s="92">
        <v>43738</v>
      </c>
      <c r="C438" t="s">
        <v>584</v>
      </c>
    </row>
    <row r="439" spans="1:3" x14ac:dyDescent="0.3">
      <c r="B439" s="92">
        <v>43758</v>
      </c>
      <c r="C439" t="s">
        <v>585</v>
      </c>
    </row>
    <row r="440" spans="1:3" x14ac:dyDescent="0.3">
      <c r="B440" s="92">
        <v>43769</v>
      </c>
      <c r="C440" t="s">
        <v>586</v>
      </c>
    </row>
    <row r="441" spans="1:3" x14ac:dyDescent="0.3">
      <c r="A441" t="s">
        <v>148</v>
      </c>
      <c r="B441" s="92">
        <v>43583</v>
      </c>
      <c r="C441" t="s">
        <v>336</v>
      </c>
    </row>
    <row r="442" spans="1:3" x14ac:dyDescent="0.3">
      <c r="B442" s="92">
        <v>43680</v>
      </c>
      <c r="C442" t="s">
        <v>587</v>
      </c>
    </row>
    <row r="443" spans="1:3" x14ac:dyDescent="0.3">
      <c r="A443" t="s">
        <v>94</v>
      </c>
      <c r="B443" s="92">
        <v>43673</v>
      </c>
      <c r="C443" t="s">
        <v>588</v>
      </c>
    </row>
    <row r="444" spans="1:3" x14ac:dyDescent="0.3">
      <c r="B444" s="92">
        <v>43681</v>
      </c>
      <c r="C444" t="s">
        <v>589</v>
      </c>
    </row>
    <row r="445" spans="1:3" x14ac:dyDescent="0.3">
      <c r="B445" s="92">
        <v>43708</v>
      </c>
      <c r="C445" t="s">
        <v>224</v>
      </c>
    </row>
    <row r="446" spans="1:3" x14ac:dyDescent="0.3">
      <c r="B446" s="92">
        <v>43713</v>
      </c>
      <c r="C446" t="s">
        <v>590</v>
      </c>
    </row>
    <row r="447" spans="1:3" x14ac:dyDescent="0.3">
      <c r="B447" s="92">
        <v>43716</v>
      </c>
      <c r="C447" t="s">
        <v>591</v>
      </c>
    </row>
    <row r="448" spans="1:3" x14ac:dyDescent="0.3">
      <c r="B448" s="92">
        <v>43743</v>
      </c>
      <c r="C448" t="s">
        <v>592</v>
      </c>
    </row>
    <row r="449" spans="1:3" x14ac:dyDescent="0.3">
      <c r="B449" s="92">
        <v>43778</v>
      </c>
      <c r="C449" t="s">
        <v>593</v>
      </c>
    </row>
    <row r="450" spans="1:3" x14ac:dyDescent="0.3">
      <c r="A450" t="s">
        <v>130</v>
      </c>
      <c r="B450" s="92">
        <v>43492</v>
      </c>
      <c r="C450" t="s">
        <v>183</v>
      </c>
    </row>
    <row r="451" spans="1:3" x14ac:dyDescent="0.3">
      <c r="B451" s="92">
        <v>43544</v>
      </c>
      <c r="C451" t="s">
        <v>593</v>
      </c>
    </row>
    <row r="452" spans="1:3" x14ac:dyDescent="0.3">
      <c r="B452" s="92">
        <v>43548</v>
      </c>
      <c r="C452" t="s">
        <v>594</v>
      </c>
    </row>
    <row r="453" spans="1:3" x14ac:dyDescent="0.3">
      <c r="A453" t="s">
        <v>166</v>
      </c>
      <c r="B453" s="92">
        <v>43577</v>
      </c>
      <c r="C453" t="s">
        <v>595</v>
      </c>
    </row>
    <row r="454" spans="1:3" x14ac:dyDescent="0.3">
      <c r="A454" t="s">
        <v>74</v>
      </c>
      <c r="B454" s="92">
        <v>43520</v>
      </c>
      <c r="C454" t="s">
        <v>596</v>
      </c>
    </row>
    <row r="455" spans="1:3" x14ac:dyDescent="0.3">
      <c r="B455" s="92">
        <v>43527</v>
      </c>
      <c r="C455" t="s">
        <v>597</v>
      </c>
    </row>
    <row r="456" spans="1:3" x14ac:dyDescent="0.3">
      <c r="B456" s="92">
        <v>43590</v>
      </c>
      <c r="C456" t="s">
        <v>598</v>
      </c>
    </row>
    <row r="457" spans="1:3" x14ac:dyDescent="0.3">
      <c r="B457" s="92">
        <v>43618</v>
      </c>
      <c r="C457" t="s">
        <v>599</v>
      </c>
    </row>
    <row r="458" spans="1:3" x14ac:dyDescent="0.3">
      <c r="B458" s="92">
        <v>43638</v>
      </c>
      <c r="C458" t="s">
        <v>552</v>
      </c>
    </row>
    <row r="459" spans="1:3" x14ac:dyDescent="0.3">
      <c r="B459" s="92">
        <v>43644</v>
      </c>
      <c r="C459" t="s">
        <v>600</v>
      </c>
    </row>
    <row r="460" spans="1:3" x14ac:dyDescent="0.3">
      <c r="B460" s="92">
        <v>43677</v>
      </c>
      <c r="C460" t="s">
        <v>601</v>
      </c>
    </row>
    <row r="461" spans="1:3" x14ac:dyDescent="0.3">
      <c r="B461" s="92">
        <v>43699</v>
      </c>
      <c r="C461" t="s">
        <v>602</v>
      </c>
    </row>
    <row r="462" spans="1:3" x14ac:dyDescent="0.3">
      <c r="B462" s="92">
        <v>43715</v>
      </c>
      <c r="C462" t="s">
        <v>603</v>
      </c>
    </row>
    <row r="463" spans="1:3" x14ac:dyDescent="0.3">
      <c r="B463" s="92">
        <v>43716</v>
      </c>
      <c r="C463" t="s">
        <v>604</v>
      </c>
    </row>
    <row r="464" spans="1:3" x14ac:dyDescent="0.3">
      <c r="B464" s="92">
        <v>43723</v>
      </c>
      <c r="C464" t="s">
        <v>605</v>
      </c>
    </row>
    <row r="465" spans="1:3" x14ac:dyDescent="0.3">
      <c r="B465" s="92">
        <v>43736</v>
      </c>
      <c r="C465" t="s">
        <v>606</v>
      </c>
    </row>
    <row r="466" spans="1:3" x14ac:dyDescent="0.3">
      <c r="A466" t="s">
        <v>109</v>
      </c>
      <c r="B466" s="92">
        <v>43478</v>
      </c>
      <c r="C466" t="s">
        <v>607</v>
      </c>
    </row>
    <row r="467" spans="1:3" x14ac:dyDescent="0.3">
      <c r="B467" s="92">
        <v>43512</v>
      </c>
      <c r="C467" t="s">
        <v>608</v>
      </c>
    </row>
    <row r="468" spans="1:3" x14ac:dyDescent="0.3">
      <c r="B468" s="92">
        <v>43527</v>
      </c>
      <c r="C468" t="s">
        <v>334</v>
      </c>
    </row>
    <row r="469" spans="1:3" x14ac:dyDescent="0.3">
      <c r="B469" s="92">
        <v>43533</v>
      </c>
      <c r="C469" t="s">
        <v>609</v>
      </c>
    </row>
    <row r="470" spans="1:3" x14ac:dyDescent="0.3">
      <c r="B470" s="92">
        <v>43552</v>
      </c>
      <c r="C470" t="s">
        <v>610</v>
      </c>
    </row>
    <row r="471" spans="1:3" x14ac:dyDescent="0.3">
      <c r="A471" t="s">
        <v>71</v>
      </c>
      <c r="B471" s="92">
        <v>43516</v>
      </c>
      <c r="C471" t="s">
        <v>611</v>
      </c>
    </row>
    <row r="472" spans="1:3" x14ac:dyDescent="0.3">
      <c r="B472" s="92">
        <v>43551</v>
      </c>
      <c r="C472" t="s">
        <v>612</v>
      </c>
    </row>
    <row r="473" spans="1:3" x14ac:dyDescent="0.3">
      <c r="B473" s="92">
        <v>43558</v>
      </c>
      <c r="C473" t="s">
        <v>613</v>
      </c>
    </row>
    <row r="474" spans="1:3" x14ac:dyDescent="0.3">
      <c r="B474" s="92">
        <v>43581</v>
      </c>
      <c r="C474" t="s">
        <v>614</v>
      </c>
    </row>
    <row r="475" spans="1:3" x14ac:dyDescent="0.3">
      <c r="B475" s="92">
        <v>43604</v>
      </c>
      <c r="C475" t="s">
        <v>615</v>
      </c>
    </row>
    <row r="476" spans="1:3" x14ac:dyDescent="0.3">
      <c r="B476" s="92">
        <v>43612</v>
      </c>
      <c r="C476" t="s">
        <v>616</v>
      </c>
    </row>
    <row r="477" spans="1:3" x14ac:dyDescent="0.3">
      <c r="B477" s="92">
        <v>43638</v>
      </c>
      <c r="C477" t="s">
        <v>617</v>
      </c>
    </row>
    <row r="478" spans="1:3" x14ac:dyDescent="0.3">
      <c r="B478" s="92">
        <v>43654</v>
      </c>
      <c r="C478" t="s">
        <v>618</v>
      </c>
    </row>
    <row r="479" spans="1:3" x14ac:dyDescent="0.3">
      <c r="B479" s="92">
        <v>43660</v>
      </c>
      <c r="C479" t="s">
        <v>619</v>
      </c>
    </row>
    <row r="480" spans="1:3" x14ac:dyDescent="0.3">
      <c r="B480" s="92">
        <v>43690</v>
      </c>
      <c r="C480" t="s">
        <v>620</v>
      </c>
    </row>
    <row r="481" spans="1:3" x14ac:dyDescent="0.3">
      <c r="B481" s="92">
        <v>43702</v>
      </c>
      <c r="C481" t="s">
        <v>621</v>
      </c>
    </row>
    <row r="482" spans="1:3" x14ac:dyDescent="0.3">
      <c r="B482" s="92">
        <v>43705</v>
      </c>
      <c r="C482" t="s">
        <v>622</v>
      </c>
    </row>
    <row r="483" spans="1:3" x14ac:dyDescent="0.3">
      <c r="B483" s="92">
        <v>43707</v>
      </c>
      <c r="C483" t="s">
        <v>623</v>
      </c>
    </row>
    <row r="484" spans="1:3" x14ac:dyDescent="0.3">
      <c r="B484" s="92">
        <v>43708</v>
      </c>
      <c r="C484" t="s">
        <v>624</v>
      </c>
    </row>
    <row r="485" spans="1:3" x14ac:dyDescent="0.3">
      <c r="B485" s="92">
        <v>43716</v>
      </c>
      <c r="C485" t="s">
        <v>625</v>
      </c>
    </row>
    <row r="486" spans="1:3" x14ac:dyDescent="0.3">
      <c r="B486" s="92">
        <v>43730</v>
      </c>
      <c r="C486" t="s">
        <v>626</v>
      </c>
    </row>
    <row r="487" spans="1:3" x14ac:dyDescent="0.3">
      <c r="B487" s="92">
        <v>43736</v>
      </c>
      <c r="C487" t="s">
        <v>627</v>
      </c>
    </row>
    <row r="488" spans="1:3" x14ac:dyDescent="0.3">
      <c r="B488" s="92">
        <v>43745</v>
      </c>
      <c r="C488" t="s">
        <v>628</v>
      </c>
    </row>
    <row r="489" spans="1:3" x14ac:dyDescent="0.3">
      <c r="B489" s="92">
        <v>43752</v>
      </c>
      <c r="C489" t="s">
        <v>629</v>
      </c>
    </row>
    <row r="490" spans="1:3" x14ac:dyDescent="0.3">
      <c r="B490" s="92">
        <v>43762</v>
      </c>
      <c r="C490" t="s">
        <v>630</v>
      </c>
    </row>
    <row r="491" spans="1:3" x14ac:dyDescent="0.3">
      <c r="B491" s="92">
        <v>43777</v>
      </c>
      <c r="C491" t="s">
        <v>631</v>
      </c>
    </row>
    <row r="492" spans="1:3" x14ac:dyDescent="0.3">
      <c r="A492" t="s">
        <v>32</v>
      </c>
      <c r="B492" s="92">
        <v>43507</v>
      </c>
      <c r="C492" t="s">
        <v>503</v>
      </c>
    </row>
    <row r="493" spans="1:3" x14ac:dyDescent="0.3">
      <c r="B493" s="92">
        <v>43510</v>
      </c>
      <c r="C493" t="s">
        <v>250</v>
      </c>
    </row>
    <row r="494" spans="1:3" x14ac:dyDescent="0.3">
      <c r="B494" s="92">
        <v>43511</v>
      </c>
      <c r="C494" t="s">
        <v>632</v>
      </c>
    </row>
    <row r="495" spans="1:3" x14ac:dyDescent="0.3">
      <c r="B495" s="92">
        <v>43514</v>
      </c>
      <c r="C495" t="s">
        <v>633</v>
      </c>
    </row>
    <row r="496" spans="1:3" x14ac:dyDescent="0.3">
      <c r="B496" s="92">
        <v>43519</v>
      </c>
      <c r="C496" t="s">
        <v>634</v>
      </c>
    </row>
    <row r="497" spans="2:3" x14ac:dyDescent="0.3">
      <c r="B497" s="92">
        <v>43527</v>
      </c>
      <c r="C497" t="s">
        <v>635</v>
      </c>
    </row>
    <row r="498" spans="2:3" x14ac:dyDescent="0.3">
      <c r="B498" s="92">
        <v>43528</v>
      </c>
      <c r="C498" t="s">
        <v>636</v>
      </c>
    </row>
    <row r="499" spans="2:3" x14ac:dyDescent="0.3">
      <c r="B499" s="92">
        <v>43531</v>
      </c>
      <c r="C499" t="s">
        <v>637</v>
      </c>
    </row>
    <row r="500" spans="2:3" x14ac:dyDescent="0.3">
      <c r="B500" s="92">
        <v>43539</v>
      </c>
      <c r="C500" t="s">
        <v>638</v>
      </c>
    </row>
    <row r="501" spans="2:3" x14ac:dyDescent="0.3">
      <c r="B501" s="92">
        <v>43541</v>
      </c>
      <c r="C501" t="s">
        <v>499</v>
      </c>
    </row>
    <row r="502" spans="2:3" x14ac:dyDescent="0.3">
      <c r="B502" s="92">
        <v>43545</v>
      </c>
      <c r="C502" t="s">
        <v>233</v>
      </c>
    </row>
    <row r="503" spans="2:3" x14ac:dyDescent="0.3">
      <c r="B503" s="92">
        <v>43554</v>
      </c>
      <c r="C503" t="s">
        <v>639</v>
      </c>
    </row>
    <row r="504" spans="2:3" x14ac:dyDescent="0.3">
      <c r="B504" s="92">
        <v>43573</v>
      </c>
      <c r="C504" t="s">
        <v>640</v>
      </c>
    </row>
    <row r="505" spans="2:3" x14ac:dyDescent="0.3">
      <c r="B505" s="92">
        <v>43574</v>
      </c>
      <c r="C505" t="s">
        <v>641</v>
      </c>
    </row>
    <row r="506" spans="2:3" x14ac:dyDescent="0.3">
      <c r="B506" s="92">
        <v>43575</v>
      </c>
      <c r="C506" t="s">
        <v>642</v>
      </c>
    </row>
    <row r="507" spans="2:3" x14ac:dyDescent="0.3">
      <c r="B507" s="92">
        <v>43577</v>
      </c>
      <c r="C507" t="s">
        <v>643</v>
      </c>
    </row>
    <row r="508" spans="2:3" x14ac:dyDescent="0.3">
      <c r="B508" s="92">
        <v>43578</v>
      </c>
      <c r="C508" t="s">
        <v>644</v>
      </c>
    </row>
    <row r="509" spans="2:3" x14ac:dyDescent="0.3">
      <c r="B509" s="92">
        <v>43580</v>
      </c>
      <c r="C509" t="s">
        <v>645</v>
      </c>
    </row>
    <row r="510" spans="2:3" x14ac:dyDescent="0.3">
      <c r="B510" s="92">
        <v>43600</v>
      </c>
      <c r="C510" t="s">
        <v>646</v>
      </c>
    </row>
    <row r="511" spans="2:3" x14ac:dyDescent="0.3">
      <c r="B511" s="92">
        <v>43601</v>
      </c>
      <c r="C511" t="s">
        <v>647</v>
      </c>
    </row>
    <row r="512" spans="2:3" x14ac:dyDescent="0.3">
      <c r="B512" s="92">
        <v>43602</v>
      </c>
      <c r="C512" t="s">
        <v>648</v>
      </c>
    </row>
    <row r="513" spans="2:3" x14ac:dyDescent="0.3">
      <c r="B513" s="92">
        <v>43603</v>
      </c>
      <c r="C513" t="s">
        <v>649</v>
      </c>
    </row>
    <row r="514" spans="2:3" x14ac:dyDescent="0.3">
      <c r="B514" s="92">
        <v>43604</v>
      </c>
      <c r="C514" t="s">
        <v>650</v>
      </c>
    </row>
    <row r="515" spans="2:3" x14ac:dyDescent="0.3">
      <c r="B515" s="92">
        <v>43605</v>
      </c>
      <c r="C515" t="s">
        <v>651</v>
      </c>
    </row>
    <row r="516" spans="2:3" x14ac:dyDescent="0.3">
      <c r="B516" s="92">
        <v>43606</v>
      </c>
      <c r="C516" t="s">
        <v>652</v>
      </c>
    </row>
    <row r="517" spans="2:3" x14ac:dyDescent="0.3">
      <c r="B517" s="92">
        <v>43616</v>
      </c>
      <c r="C517" t="s">
        <v>653</v>
      </c>
    </row>
    <row r="518" spans="2:3" x14ac:dyDescent="0.3">
      <c r="B518" s="92">
        <v>43653</v>
      </c>
      <c r="C518" t="s">
        <v>654</v>
      </c>
    </row>
    <row r="519" spans="2:3" x14ac:dyDescent="0.3">
      <c r="B519" s="92">
        <v>43656</v>
      </c>
      <c r="C519" t="s">
        <v>655</v>
      </c>
    </row>
    <row r="520" spans="2:3" x14ac:dyDescent="0.3">
      <c r="B520" s="92">
        <v>43659</v>
      </c>
      <c r="C520" t="s">
        <v>656</v>
      </c>
    </row>
    <row r="521" spans="2:3" x14ac:dyDescent="0.3">
      <c r="B521" s="92">
        <v>43678</v>
      </c>
      <c r="C521" t="s">
        <v>657</v>
      </c>
    </row>
    <row r="522" spans="2:3" x14ac:dyDescent="0.3">
      <c r="B522" s="92">
        <v>43685</v>
      </c>
      <c r="C522" t="s">
        <v>658</v>
      </c>
    </row>
    <row r="523" spans="2:3" x14ac:dyDescent="0.3">
      <c r="B523" s="92">
        <v>43692</v>
      </c>
      <c r="C523" t="s">
        <v>659</v>
      </c>
    </row>
    <row r="524" spans="2:3" x14ac:dyDescent="0.3">
      <c r="B524" s="92">
        <v>43694</v>
      </c>
      <c r="C524" t="s">
        <v>660</v>
      </c>
    </row>
    <row r="525" spans="2:3" x14ac:dyDescent="0.3">
      <c r="B525" s="92">
        <v>43700</v>
      </c>
      <c r="C525" t="s">
        <v>661</v>
      </c>
    </row>
    <row r="526" spans="2:3" x14ac:dyDescent="0.3">
      <c r="B526" s="92">
        <v>43713</v>
      </c>
      <c r="C526" t="s">
        <v>662</v>
      </c>
    </row>
    <row r="527" spans="2:3" x14ac:dyDescent="0.3">
      <c r="B527" s="92">
        <v>43720</v>
      </c>
      <c r="C527" t="s">
        <v>663</v>
      </c>
    </row>
    <row r="528" spans="2:3" x14ac:dyDescent="0.3">
      <c r="B528" s="92">
        <v>43723</v>
      </c>
      <c r="C528" t="s">
        <v>195</v>
      </c>
    </row>
    <row r="529" spans="1:3" x14ac:dyDescent="0.3">
      <c r="B529" s="92">
        <v>43730</v>
      </c>
      <c r="C529" t="s">
        <v>664</v>
      </c>
    </row>
    <row r="530" spans="1:3" x14ac:dyDescent="0.3">
      <c r="B530" s="92">
        <v>43731</v>
      </c>
      <c r="C530" t="s">
        <v>448</v>
      </c>
    </row>
    <row r="531" spans="1:3" x14ac:dyDescent="0.3">
      <c r="B531" s="92">
        <v>43734</v>
      </c>
      <c r="C531" t="s">
        <v>665</v>
      </c>
    </row>
    <row r="532" spans="1:3" x14ac:dyDescent="0.3">
      <c r="B532" s="92">
        <v>43736</v>
      </c>
      <c r="C532" t="s">
        <v>232</v>
      </c>
    </row>
    <row r="533" spans="1:3" x14ac:dyDescent="0.3">
      <c r="B533" s="92">
        <v>43739</v>
      </c>
      <c r="C533" t="s">
        <v>666</v>
      </c>
    </row>
    <row r="534" spans="1:3" x14ac:dyDescent="0.3">
      <c r="B534" s="92">
        <v>43745</v>
      </c>
      <c r="C534" t="s">
        <v>667</v>
      </c>
    </row>
    <row r="535" spans="1:3" x14ac:dyDescent="0.3">
      <c r="B535" s="92">
        <v>43752</v>
      </c>
      <c r="C535" t="s">
        <v>668</v>
      </c>
    </row>
    <row r="536" spans="1:3" x14ac:dyDescent="0.3">
      <c r="B536" s="92">
        <v>43762</v>
      </c>
      <c r="C536" t="s">
        <v>669</v>
      </c>
    </row>
    <row r="537" spans="1:3" x14ac:dyDescent="0.3">
      <c r="B537" s="92">
        <v>43764</v>
      </c>
      <c r="C537" t="s">
        <v>670</v>
      </c>
    </row>
    <row r="538" spans="1:3" x14ac:dyDescent="0.3">
      <c r="B538" s="92">
        <v>43770</v>
      </c>
      <c r="C538" t="s">
        <v>671</v>
      </c>
    </row>
    <row r="539" spans="1:3" x14ac:dyDescent="0.3">
      <c r="B539" s="92">
        <v>43774</v>
      </c>
      <c r="C539" t="s">
        <v>672</v>
      </c>
    </row>
    <row r="540" spans="1:3" x14ac:dyDescent="0.3">
      <c r="B540" s="92">
        <v>43780</v>
      </c>
      <c r="C540" t="s">
        <v>673</v>
      </c>
    </row>
    <row r="541" spans="1:3" x14ac:dyDescent="0.3">
      <c r="A541" t="s">
        <v>154</v>
      </c>
      <c r="B541" s="92">
        <v>43548</v>
      </c>
      <c r="C541" t="s">
        <v>674</v>
      </c>
    </row>
    <row r="542" spans="1:3" x14ac:dyDescent="0.3">
      <c r="A542" t="s">
        <v>89</v>
      </c>
      <c r="B542" s="92">
        <v>43472</v>
      </c>
      <c r="C542" t="s">
        <v>613</v>
      </c>
    </row>
    <row r="543" spans="1:3" x14ac:dyDescent="0.3">
      <c r="B543" s="92">
        <v>43484</v>
      </c>
      <c r="C543" t="s">
        <v>675</v>
      </c>
    </row>
    <row r="544" spans="1:3" x14ac:dyDescent="0.3">
      <c r="B544" s="92">
        <v>43493</v>
      </c>
      <c r="C544" t="s">
        <v>676</v>
      </c>
    </row>
    <row r="545" spans="1:3" x14ac:dyDescent="0.3">
      <c r="B545" s="92">
        <v>43521</v>
      </c>
      <c r="C545" t="s">
        <v>677</v>
      </c>
    </row>
    <row r="546" spans="1:3" x14ac:dyDescent="0.3">
      <c r="B546" s="92">
        <v>43529</v>
      </c>
      <c r="C546" t="s">
        <v>678</v>
      </c>
    </row>
    <row r="547" spans="1:3" x14ac:dyDescent="0.3">
      <c r="B547" s="92">
        <v>43706</v>
      </c>
      <c r="C547" t="s">
        <v>679</v>
      </c>
    </row>
    <row r="548" spans="1:3" x14ac:dyDescent="0.3">
      <c r="B548" s="92">
        <v>43707</v>
      </c>
      <c r="C548" t="s">
        <v>680</v>
      </c>
    </row>
    <row r="549" spans="1:3" x14ac:dyDescent="0.3">
      <c r="B549" s="92">
        <v>43728</v>
      </c>
      <c r="C549" t="s">
        <v>681</v>
      </c>
    </row>
    <row r="550" spans="1:3" x14ac:dyDescent="0.3">
      <c r="A550" t="s">
        <v>157</v>
      </c>
      <c r="B550" s="92">
        <v>43603</v>
      </c>
      <c r="C550" t="s">
        <v>682</v>
      </c>
    </row>
    <row r="551" spans="1:3" x14ac:dyDescent="0.3">
      <c r="A551" t="s">
        <v>77</v>
      </c>
      <c r="B551" s="92">
        <v>43540</v>
      </c>
      <c r="C551" t="s">
        <v>683</v>
      </c>
    </row>
    <row r="552" spans="1:3" x14ac:dyDescent="0.3">
      <c r="B552" s="92">
        <v>43548</v>
      </c>
      <c r="C552" t="s">
        <v>684</v>
      </c>
    </row>
    <row r="553" spans="1:3" x14ac:dyDescent="0.3">
      <c r="B553" s="92">
        <v>43555</v>
      </c>
      <c r="C553" t="s">
        <v>685</v>
      </c>
    </row>
    <row r="554" spans="1:3" x14ac:dyDescent="0.3">
      <c r="B554" s="92">
        <v>43561</v>
      </c>
      <c r="C554" t="s">
        <v>686</v>
      </c>
    </row>
    <row r="555" spans="1:3" x14ac:dyDescent="0.3">
      <c r="B555" s="92">
        <v>43574</v>
      </c>
      <c r="C555" t="s">
        <v>687</v>
      </c>
    </row>
    <row r="556" spans="1:3" x14ac:dyDescent="0.3">
      <c r="B556" s="92">
        <v>43575</v>
      </c>
      <c r="C556" t="s">
        <v>688</v>
      </c>
    </row>
    <row r="557" spans="1:3" x14ac:dyDescent="0.3">
      <c r="B557" s="92">
        <v>43577</v>
      </c>
      <c r="C557" t="s">
        <v>689</v>
      </c>
    </row>
    <row r="558" spans="1:3" x14ac:dyDescent="0.3">
      <c r="B558" s="92">
        <v>43586</v>
      </c>
      <c r="C558" t="s">
        <v>690</v>
      </c>
    </row>
    <row r="559" spans="1:3" x14ac:dyDescent="0.3">
      <c r="B559" s="92">
        <v>43617</v>
      </c>
      <c r="C559" t="s">
        <v>240</v>
      </c>
    </row>
    <row r="560" spans="1:3" x14ac:dyDescent="0.3">
      <c r="B560" s="92">
        <v>43620</v>
      </c>
      <c r="C560" t="s">
        <v>691</v>
      </c>
    </row>
    <row r="561" spans="1:3" x14ac:dyDescent="0.3">
      <c r="B561" s="92">
        <v>43621</v>
      </c>
      <c r="C561" t="s">
        <v>242</v>
      </c>
    </row>
    <row r="562" spans="1:3" x14ac:dyDescent="0.3">
      <c r="A562" t="s">
        <v>68</v>
      </c>
      <c r="B562" s="92">
        <v>43526</v>
      </c>
      <c r="C562" t="s">
        <v>692</v>
      </c>
    </row>
    <row r="563" spans="1:3" x14ac:dyDescent="0.3">
      <c r="B563" s="92">
        <v>43527</v>
      </c>
      <c r="C563" t="s">
        <v>693</v>
      </c>
    </row>
    <row r="564" spans="1:3" x14ac:dyDescent="0.3">
      <c r="C564" t="s">
        <v>694</v>
      </c>
    </row>
    <row r="565" spans="1:3" x14ac:dyDescent="0.3">
      <c r="B565" s="92">
        <v>43531</v>
      </c>
      <c r="C565" t="s">
        <v>695</v>
      </c>
    </row>
    <row r="566" spans="1:3" x14ac:dyDescent="0.3">
      <c r="B566" s="92">
        <v>43540</v>
      </c>
      <c r="C566" t="s">
        <v>696</v>
      </c>
    </row>
    <row r="567" spans="1:3" x14ac:dyDescent="0.3">
      <c r="B567" s="92">
        <v>43541</v>
      </c>
      <c r="C567" t="s">
        <v>224</v>
      </c>
    </row>
    <row r="568" spans="1:3" x14ac:dyDescent="0.3">
      <c r="B568" s="92">
        <v>43546</v>
      </c>
      <c r="C568" t="s">
        <v>697</v>
      </c>
    </row>
    <row r="569" spans="1:3" x14ac:dyDescent="0.3">
      <c r="B569" s="92">
        <v>43548</v>
      </c>
      <c r="C569" t="s">
        <v>698</v>
      </c>
    </row>
    <row r="570" spans="1:3" x14ac:dyDescent="0.3">
      <c r="B570" s="92">
        <v>43553</v>
      </c>
      <c r="C570" t="s">
        <v>699</v>
      </c>
    </row>
    <row r="571" spans="1:3" x14ac:dyDescent="0.3">
      <c r="B571" s="92">
        <v>43562</v>
      </c>
      <c r="C571" t="s">
        <v>502</v>
      </c>
    </row>
    <row r="572" spans="1:3" x14ac:dyDescent="0.3">
      <c r="B572" s="92">
        <v>43568</v>
      </c>
      <c r="C572" t="s">
        <v>700</v>
      </c>
    </row>
    <row r="573" spans="1:3" x14ac:dyDescent="0.3">
      <c r="B573" s="92">
        <v>43577</v>
      </c>
      <c r="C573" t="s">
        <v>701</v>
      </c>
    </row>
    <row r="574" spans="1:3" x14ac:dyDescent="0.3">
      <c r="B574" s="92">
        <v>43582</v>
      </c>
      <c r="C574" t="s">
        <v>702</v>
      </c>
    </row>
    <row r="575" spans="1:3" x14ac:dyDescent="0.3">
      <c r="B575" s="92">
        <v>43590</v>
      </c>
      <c r="C575" t="s">
        <v>703</v>
      </c>
    </row>
    <row r="576" spans="1:3" x14ac:dyDescent="0.3">
      <c r="B576" s="92">
        <v>43625</v>
      </c>
      <c r="C576" t="s">
        <v>704</v>
      </c>
    </row>
    <row r="577" spans="1:3" x14ac:dyDescent="0.3">
      <c r="B577" s="92">
        <v>43638</v>
      </c>
      <c r="C577" t="s">
        <v>705</v>
      </c>
    </row>
    <row r="578" spans="1:3" x14ac:dyDescent="0.3">
      <c r="B578" s="92">
        <v>43675</v>
      </c>
      <c r="C578" t="s">
        <v>706</v>
      </c>
    </row>
    <row r="579" spans="1:3" x14ac:dyDescent="0.3">
      <c r="B579" s="92">
        <v>43685</v>
      </c>
      <c r="C579" t="s">
        <v>707</v>
      </c>
    </row>
    <row r="580" spans="1:3" x14ac:dyDescent="0.3">
      <c r="B580" s="92">
        <v>43686</v>
      </c>
      <c r="C580" t="s">
        <v>708</v>
      </c>
    </row>
    <row r="581" spans="1:3" x14ac:dyDescent="0.3">
      <c r="B581" s="92">
        <v>43688</v>
      </c>
      <c r="C581" t="s">
        <v>709</v>
      </c>
    </row>
    <row r="582" spans="1:3" x14ac:dyDescent="0.3">
      <c r="A582" t="s">
        <v>118</v>
      </c>
      <c r="B582" s="92">
        <v>43554</v>
      </c>
      <c r="C582" t="s">
        <v>404</v>
      </c>
    </row>
    <row r="583" spans="1:3" x14ac:dyDescent="0.3">
      <c r="B583" s="92">
        <v>43555</v>
      </c>
      <c r="C583" t="s">
        <v>637</v>
      </c>
    </row>
    <row r="584" spans="1:3" x14ac:dyDescent="0.3">
      <c r="B584" s="92">
        <v>43708</v>
      </c>
      <c r="C584" t="s">
        <v>438</v>
      </c>
    </row>
    <row r="585" spans="1:3" x14ac:dyDescent="0.3">
      <c r="A585" t="s">
        <v>29</v>
      </c>
      <c r="B585" s="92">
        <v>43512</v>
      </c>
      <c r="C585" t="s">
        <v>395</v>
      </c>
    </row>
    <row r="586" spans="1:3" x14ac:dyDescent="0.3">
      <c r="B586" s="92">
        <v>43516</v>
      </c>
      <c r="C586" t="s">
        <v>710</v>
      </c>
    </row>
    <row r="587" spans="1:3" x14ac:dyDescent="0.3">
      <c r="B587" s="92">
        <v>43520</v>
      </c>
      <c r="C587" t="s">
        <v>413</v>
      </c>
    </row>
    <row r="588" spans="1:3" x14ac:dyDescent="0.3">
      <c r="B588" s="92">
        <v>43527</v>
      </c>
      <c r="C588" t="s">
        <v>711</v>
      </c>
    </row>
    <row r="589" spans="1:3" x14ac:dyDescent="0.3">
      <c r="B589" s="92">
        <v>43533</v>
      </c>
      <c r="C589" t="s">
        <v>712</v>
      </c>
    </row>
    <row r="590" spans="1:3" x14ac:dyDescent="0.3">
      <c r="B590" s="92">
        <v>43541</v>
      </c>
      <c r="C590" t="s">
        <v>713</v>
      </c>
    </row>
    <row r="591" spans="1:3" x14ac:dyDescent="0.3">
      <c r="B591" s="92">
        <v>43547</v>
      </c>
      <c r="C591" t="s">
        <v>714</v>
      </c>
    </row>
    <row r="592" spans="1:3" x14ac:dyDescent="0.3">
      <c r="B592" s="92">
        <v>43548</v>
      </c>
      <c r="C592" t="s">
        <v>715</v>
      </c>
    </row>
    <row r="593" spans="2:3" x14ac:dyDescent="0.3">
      <c r="B593" s="92">
        <v>43593</v>
      </c>
      <c r="C593" t="s">
        <v>716</v>
      </c>
    </row>
    <row r="594" spans="2:3" x14ac:dyDescent="0.3">
      <c r="B594" s="92">
        <v>43602</v>
      </c>
      <c r="C594" t="s">
        <v>717</v>
      </c>
    </row>
    <row r="595" spans="2:3" x14ac:dyDescent="0.3">
      <c r="B595" s="92">
        <v>43603</v>
      </c>
      <c r="C595" t="s">
        <v>718</v>
      </c>
    </row>
    <row r="596" spans="2:3" x14ac:dyDescent="0.3">
      <c r="B596" s="92">
        <v>43604</v>
      </c>
      <c r="C596" t="s">
        <v>719</v>
      </c>
    </row>
    <row r="597" spans="2:3" x14ac:dyDescent="0.3">
      <c r="B597" s="92">
        <v>43611</v>
      </c>
      <c r="C597" t="s">
        <v>720</v>
      </c>
    </row>
    <row r="598" spans="2:3" x14ac:dyDescent="0.3">
      <c r="B598" s="92">
        <v>43618</v>
      </c>
      <c r="C598" t="s">
        <v>721</v>
      </c>
    </row>
    <row r="599" spans="2:3" x14ac:dyDescent="0.3">
      <c r="B599" s="92">
        <v>43625</v>
      </c>
      <c r="C599" t="s">
        <v>722</v>
      </c>
    </row>
    <row r="600" spans="2:3" x14ac:dyDescent="0.3">
      <c r="B600" s="92">
        <v>43631</v>
      </c>
      <c r="C600" t="s">
        <v>723</v>
      </c>
    </row>
    <row r="601" spans="2:3" x14ac:dyDescent="0.3">
      <c r="B601" s="92">
        <v>43639</v>
      </c>
      <c r="C601" t="s">
        <v>724</v>
      </c>
    </row>
    <row r="602" spans="2:3" x14ac:dyDescent="0.3">
      <c r="B602" s="92">
        <v>43645</v>
      </c>
      <c r="C602" t="s">
        <v>725</v>
      </c>
    </row>
    <row r="603" spans="2:3" x14ac:dyDescent="0.3">
      <c r="B603" s="92">
        <v>43650</v>
      </c>
      <c r="C603" t="s">
        <v>419</v>
      </c>
    </row>
    <row r="604" spans="2:3" x14ac:dyDescent="0.3">
      <c r="B604" s="92">
        <v>43651</v>
      </c>
      <c r="C604" t="s">
        <v>726</v>
      </c>
    </row>
    <row r="605" spans="2:3" x14ac:dyDescent="0.3">
      <c r="B605" s="92">
        <v>43653</v>
      </c>
      <c r="C605" t="s">
        <v>727</v>
      </c>
    </row>
    <row r="606" spans="2:3" x14ac:dyDescent="0.3">
      <c r="B606" s="92">
        <v>43655</v>
      </c>
      <c r="C606" t="s">
        <v>728</v>
      </c>
    </row>
    <row r="607" spans="2:3" x14ac:dyDescent="0.3">
      <c r="B607" s="92">
        <v>43664</v>
      </c>
      <c r="C607" t="s">
        <v>729</v>
      </c>
    </row>
    <row r="608" spans="2:3" x14ac:dyDescent="0.3">
      <c r="B608" s="92">
        <v>43665</v>
      </c>
      <c r="C608" t="s">
        <v>730</v>
      </c>
    </row>
    <row r="609" spans="2:3" x14ac:dyDescent="0.3">
      <c r="B609" s="92">
        <v>43666</v>
      </c>
      <c r="C609" t="s">
        <v>731</v>
      </c>
    </row>
    <row r="610" spans="2:3" x14ac:dyDescent="0.3">
      <c r="B610" s="92">
        <v>43667</v>
      </c>
      <c r="C610" t="s">
        <v>732</v>
      </c>
    </row>
    <row r="611" spans="2:3" x14ac:dyDescent="0.3">
      <c r="B611" s="92">
        <v>43681</v>
      </c>
      <c r="C611" t="s">
        <v>733</v>
      </c>
    </row>
    <row r="612" spans="2:3" x14ac:dyDescent="0.3">
      <c r="B612" s="92">
        <v>43682</v>
      </c>
      <c r="C612" t="s">
        <v>734</v>
      </c>
    </row>
    <row r="613" spans="2:3" x14ac:dyDescent="0.3">
      <c r="B613" s="92">
        <v>43683</v>
      </c>
      <c r="C613" t="s">
        <v>735</v>
      </c>
    </row>
    <row r="614" spans="2:3" x14ac:dyDescent="0.3">
      <c r="B614" s="92">
        <v>43685</v>
      </c>
      <c r="C614" t="s">
        <v>736</v>
      </c>
    </row>
    <row r="615" spans="2:3" x14ac:dyDescent="0.3">
      <c r="B615" s="92">
        <v>43688</v>
      </c>
      <c r="C615" t="s">
        <v>737</v>
      </c>
    </row>
    <row r="616" spans="2:3" x14ac:dyDescent="0.3">
      <c r="B616" s="92">
        <v>43693</v>
      </c>
      <c r="C616" t="s">
        <v>738</v>
      </c>
    </row>
    <row r="617" spans="2:3" x14ac:dyDescent="0.3">
      <c r="B617" s="92">
        <v>43694</v>
      </c>
      <c r="C617" t="s">
        <v>739</v>
      </c>
    </row>
    <row r="618" spans="2:3" x14ac:dyDescent="0.3">
      <c r="B618" s="92">
        <v>43706</v>
      </c>
      <c r="C618" t="s">
        <v>740</v>
      </c>
    </row>
    <row r="619" spans="2:3" x14ac:dyDescent="0.3">
      <c r="B619" s="92">
        <v>43708</v>
      </c>
      <c r="C619" t="s">
        <v>741</v>
      </c>
    </row>
    <row r="620" spans="2:3" x14ac:dyDescent="0.3">
      <c r="B620" s="92">
        <v>43716</v>
      </c>
      <c r="C620" t="s">
        <v>742</v>
      </c>
    </row>
    <row r="621" spans="2:3" x14ac:dyDescent="0.3">
      <c r="B621" s="92">
        <v>43723</v>
      </c>
      <c r="C621" t="s">
        <v>743</v>
      </c>
    </row>
    <row r="622" spans="2:3" x14ac:dyDescent="0.3">
      <c r="B622" s="92">
        <v>43739</v>
      </c>
      <c r="C622" t="s">
        <v>744</v>
      </c>
    </row>
    <row r="623" spans="2:3" x14ac:dyDescent="0.3">
      <c r="B623" s="92">
        <v>43744</v>
      </c>
      <c r="C623" t="s">
        <v>745</v>
      </c>
    </row>
    <row r="624" spans="2:3" x14ac:dyDescent="0.3">
      <c r="B624" s="92">
        <v>43764</v>
      </c>
      <c r="C624" t="s">
        <v>746</v>
      </c>
    </row>
    <row r="625" spans="1:3" x14ac:dyDescent="0.3">
      <c r="A625" t="s">
        <v>83</v>
      </c>
      <c r="B625" s="92">
        <v>43476</v>
      </c>
      <c r="C625" t="s">
        <v>747</v>
      </c>
    </row>
    <row r="626" spans="1:3" x14ac:dyDescent="0.3">
      <c r="B626" s="92">
        <v>43477</v>
      </c>
      <c r="C626" t="s">
        <v>748</v>
      </c>
    </row>
    <row r="627" spans="1:3" x14ac:dyDescent="0.3">
      <c r="B627" s="92">
        <v>43541</v>
      </c>
      <c r="C627" t="s">
        <v>749</v>
      </c>
    </row>
    <row r="628" spans="1:3" x14ac:dyDescent="0.3">
      <c r="B628" s="92">
        <v>43544</v>
      </c>
      <c r="C628" t="s">
        <v>267</v>
      </c>
    </row>
    <row r="629" spans="1:3" x14ac:dyDescent="0.3">
      <c r="B629" s="92">
        <v>43547</v>
      </c>
      <c r="C629" t="s">
        <v>750</v>
      </c>
    </row>
    <row r="630" spans="1:3" x14ac:dyDescent="0.3">
      <c r="B630" s="92">
        <v>43577</v>
      </c>
      <c r="C630" t="s">
        <v>751</v>
      </c>
    </row>
    <row r="631" spans="1:3" x14ac:dyDescent="0.3">
      <c r="B631" s="92">
        <v>43766</v>
      </c>
      <c r="C631" t="s">
        <v>752</v>
      </c>
    </row>
    <row r="632" spans="1:3" x14ac:dyDescent="0.3">
      <c r="B632" s="92">
        <v>43772</v>
      </c>
      <c r="C632" t="s">
        <v>753</v>
      </c>
    </row>
    <row r="633" spans="1:3" x14ac:dyDescent="0.3">
      <c r="A633" t="s">
        <v>50</v>
      </c>
      <c r="B633" s="92">
        <v>43484</v>
      </c>
      <c r="C633" t="s">
        <v>754</v>
      </c>
    </row>
    <row r="634" spans="1:3" x14ac:dyDescent="0.3">
      <c r="B634" s="92">
        <v>43491</v>
      </c>
      <c r="C634" t="s">
        <v>755</v>
      </c>
    </row>
    <row r="635" spans="1:3" x14ac:dyDescent="0.3">
      <c r="B635" s="92">
        <v>43498</v>
      </c>
      <c r="C635" t="s">
        <v>756</v>
      </c>
    </row>
    <row r="636" spans="1:3" x14ac:dyDescent="0.3">
      <c r="B636" s="92">
        <v>43506</v>
      </c>
      <c r="C636" t="s">
        <v>757</v>
      </c>
    </row>
    <row r="637" spans="1:3" x14ac:dyDescent="0.3">
      <c r="B637" s="92">
        <v>43513</v>
      </c>
      <c r="C637" t="s">
        <v>758</v>
      </c>
    </row>
    <row r="638" spans="1:3" x14ac:dyDescent="0.3">
      <c r="B638" s="92">
        <v>43519</v>
      </c>
      <c r="C638" t="s">
        <v>261</v>
      </c>
    </row>
    <row r="639" spans="1:3" x14ac:dyDescent="0.3">
      <c r="B639" s="92">
        <v>43547</v>
      </c>
      <c r="C639" t="s">
        <v>269</v>
      </c>
    </row>
    <row r="640" spans="1:3" x14ac:dyDescent="0.3">
      <c r="B640" s="92">
        <v>43561</v>
      </c>
      <c r="C640" t="s">
        <v>759</v>
      </c>
    </row>
    <row r="641" spans="1:3" x14ac:dyDescent="0.3">
      <c r="B641" s="92">
        <v>43586</v>
      </c>
      <c r="C641" t="s">
        <v>760</v>
      </c>
    </row>
    <row r="642" spans="1:3" x14ac:dyDescent="0.3">
      <c r="B642" s="92">
        <v>43588</v>
      </c>
      <c r="C642" t="s">
        <v>202</v>
      </c>
    </row>
    <row r="643" spans="1:3" x14ac:dyDescent="0.3">
      <c r="B643" s="92">
        <v>43589</v>
      </c>
      <c r="C643" t="s">
        <v>280</v>
      </c>
    </row>
    <row r="644" spans="1:3" x14ac:dyDescent="0.3">
      <c r="B644" s="92">
        <v>43593</v>
      </c>
      <c r="C644" t="s">
        <v>761</v>
      </c>
    </row>
    <row r="645" spans="1:3" x14ac:dyDescent="0.3">
      <c r="B645" s="92">
        <v>43630</v>
      </c>
      <c r="C645" t="s">
        <v>762</v>
      </c>
    </row>
    <row r="646" spans="1:3" x14ac:dyDescent="0.3">
      <c r="B646" s="92">
        <v>43634</v>
      </c>
      <c r="C646" t="s">
        <v>763</v>
      </c>
    </row>
    <row r="647" spans="1:3" x14ac:dyDescent="0.3">
      <c r="B647" s="92">
        <v>43680</v>
      </c>
      <c r="C647" t="s">
        <v>764</v>
      </c>
    </row>
    <row r="648" spans="1:3" x14ac:dyDescent="0.3">
      <c r="B648" s="92">
        <v>43694</v>
      </c>
      <c r="C648" t="s">
        <v>297</v>
      </c>
    </row>
    <row r="649" spans="1:3" x14ac:dyDescent="0.3">
      <c r="B649" s="92">
        <v>43733</v>
      </c>
      <c r="C649" t="s">
        <v>765</v>
      </c>
    </row>
    <row r="650" spans="1:3" x14ac:dyDescent="0.3">
      <c r="B650" s="92">
        <v>43736</v>
      </c>
      <c r="C650" t="s">
        <v>310</v>
      </c>
    </row>
    <row r="651" spans="1:3" x14ac:dyDescent="0.3">
      <c r="B651" s="92">
        <v>43750</v>
      </c>
      <c r="C651" t="s">
        <v>766</v>
      </c>
    </row>
    <row r="652" spans="1:3" x14ac:dyDescent="0.3">
      <c r="B652" s="92">
        <v>43751</v>
      </c>
      <c r="C652" t="s">
        <v>313</v>
      </c>
    </row>
    <row r="653" spans="1:3" x14ac:dyDescent="0.3">
      <c r="B653" s="92">
        <v>43758</v>
      </c>
      <c r="C653" t="s">
        <v>315</v>
      </c>
    </row>
    <row r="654" spans="1:3" x14ac:dyDescent="0.3">
      <c r="B654" s="92">
        <v>43779</v>
      </c>
      <c r="C654" t="s">
        <v>767</v>
      </c>
    </row>
    <row r="655" spans="1:3" x14ac:dyDescent="0.3">
      <c r="A655" t="s">
        <v>92</v>
      </c>
      <c r="B655" s="92">
        <v>43533</v>
      </c>
      <c r="C655" t="s">
        <v>768</v>
      </c>
    </row>
    <row r="656" spans="1:3" x14ac:dyDescent="0.3">
      <c r="B656" s="92">
        <v>43561</v>
      </c>
      <c r="C656" t="s">
        <v>224</v>
      </c>
    </row>
    <row r="657" spans="1:3" x14ac:dyDescent="0.3">
      <c r="B657" s="92">
        <v>43593</v>
      </c>
      <c r="C657" t="s">
        <v>505</v>
      </c>
    </row>
    <row r="658" spans="1:3" x14ac:dyDescent="0.3">
      <c r="B658" s="92">
        <v>43680</v>
      </c>
      <c r="C658" t="s">
        <v>246</v>
      </c>
    </row>
    <row r="659" spans="1:3" x14ac:dyDescent="0.3">
      <c r="B659" s="92">
        <v>43687</v>
      </c>
      <c r="C659" t="s">
        <v>769</v>
      </c>
    </row>
    <row r="660" spans="1:3" x14ac:dyDescent="0.3">
      <c r="B660" s="92">
        <v>43739</v>
      </c>
      <c r="C660" t="s">
        <v>250</v>
      </c>
    </row>
    <row r="661" spans="1:3" x14ac:dyDescent="0.3">
      <c r="B661" s="92">
        <v>43750</v>
      </c>
      <c r="C661" t="s">
        <v>770</v>
      </c>
    </row>
    <row r="662" spans="1:3" x14ac:dyDescent="0.3">
      <c r="A662" t="s">
        <v>65</v>
      </c>
      <c r="B662" s="92">
        <v>40127</v>
      </c>
      <c r="C662" t="s">
        <v>767</v>
      </c>
    </row>
    <row r="663" spans="1:3" x14ac:dyDescent="0.3">
      <c r="B663" s="92">
        <v>43491</v>
      </c>
      <c r="C663" t="s">
        <v>755</v>
      </c>
    </row>
    <row r="664" spans="1:3" x14ac:dyDescent="0.3">
      <c r="B664" s="92">
        <v>43499</v>
      </c>
      <c r="C664" t="s">
        <v>771</v>
      </c>
    </row>
    <row r="665" spans="1:3" x14ac:dyDescent="0.3">
      <c r="B665" s="92">
        <v>43500</v>
      </c>
      <c r="C665" t="s">
        <v>255</v>
      </c>
    </row>
    <row r="666" spans="1:3" x14ac:dyDescent="0.3">
      <c r="B666" s="92">
        <v>43519</v>
      </c>
      <c r="C666" t="s">
        <v>261</v>
      </c>
    </row>
    <row r="667" spans="1:3" x14ac:dyDescent="0.3">
      <c r="B667" s="92">
        <v>43523</v>
      </c>
      <c r="C667" t="s">
        <v>772</v>
      </c>
    </row>
    <row r="668" spans="1:3" x14ac:dyDescent="0.3">
      <c r="B668" s="92">
        <v>43536</v>
      </c>
      <c r="C668" t="s">
        <v>773</v>
      </c>
    </row>
    <row r="669" spans="1:3" x14ac:dyDescent="0.3">
      <c r="B669" s="92">
        <v>43561</v>
      </c>
      <c r="C669" t="s">
        <v>759</v>
      </c>
    </row>
    <row r="670" spans="1:3" x14ac:dyDescent="0.3">
      <c r="B670" s="92">
        <v>43569</v>
      </c>
      <c r="C670" t="s">
        <v>774</v>
      </c>
    </row>
    <row r="671" spans="1:3" x14ac:dyDescent="0.3">
      <c r="B671" s="92">
        <v>43570</v>
      </c>
      <c r="C671" t="s">
        <v>775</v>
      </c>
    </row>
    <row r="672" spans="1:3" x14ac:dyDescent="0.3">
      <c r="B672" s="92">
        <v>43582</v>
      </c>
      <c r="C672" t="s">
        <v>776</v>
      </c>
    </row>
    <row r="673" spans="1:3" x14ac:dyDescent="0.3">
      <c r="B673" s="92">
        <v>43588</v>
      </c>
      <c r="C673" t="s">
        <v>202</v>
      </c>
    </row>
    <row r="674" spans="1:3" x14ac:dyDescent="0.3">
      <c r="B674" s="92">
        <v>43589</v>
      </c>
      <c r="C674" t="s">
        <v>280</v>
      </c>
    </row>
    <row r="675" spans="1:3" x14ac:dyDescent="0.3">
      <c r="B675" s="92">
        <v>43593</v>
      </c>
      <c r="C675" t="s">
        <v>761</v>
      </c>
    </row>
    <row r="676" spans="1:3" x14ac:dyDescent="0.3">
      <c r="B676" s="92">
        <v>43630</v>
      </c>
      <c r="C676" t="s">
        <v>762</v>
      </c>
    </row>
    <row r="677" spans="1:3" x14ac:dyDescent="0.3">
      <c r="B677" s="92">
        <v>43634</v>
      </c>
      <c r="C677" t="s">
        <v>763</v>
      </c>
    </row>
    <row r="678" spans="1:3" x14ac:dyDescent="0.3">
      <c r="B678" s="92">
        <v>43663</v>
      </c>
      <c r="C678" t="s">
        <v>777</v>
      </c>
    </row>
    <row r="679" spans="1:3" x14ac:dyDescent="0.3">
      <c r="B679" s="92">
        <v>43694</v>
      </c>
      <c r="C679" t="s">
        <v>297</v>
      </c>
    </row>
    <row r="680" spans="1:3" x14ac:dyDescent="0.3">
      <c r="B680" s="92">
        <v>43695</v>
      </c>
      <c r="C680" t="s">
        <v>778</v>
      </c>
    </row>
    <row r="681" spans="1:3" x14ac:dyDescent="0.3">
      <c r="B681" s="92">
        <v>43709</v>
      </c>
      <c r="C681" t="s">
        <v>779</v>
      </c>
    </row>
    <row r="682" spans="1:3" x14ac:dyDescent="0.3">
      <c r="B682" s="92">
        <v>43711</v>
      </c>
      <c r="C682" t="s">
        <v>780</v>
      </c>
    </row>
    <row r="683" spans="1:3" x14ac:dyDescent="0.3">
      <c r="B683" s="92">
        <v>43733</v>
      </c>
      <c r="C683" t="s">
        <v>781</v>
      </c>
    </row>
    <row r="684" spans="1:3" x14ac:dyDescent="0.3">
      <c r="B684" s="92">
        <v>43750</v>
      </c>
      <c r="C684" t="s">
        <v>766</v>
      </c>
    </row>
    <row r="685" spans="1:3" x14ac:dyDescent="0.3">
      <c r="B685" s="92">
        <v>43758</v>
      </c>
      <c r="C685" t="s">
        <v>315</v>
      </c>
    </row>
    <row r="686" spans="1:3" x14ac:dyDescent="0.3">
      <c r="A686" t="s">
        <v>97</v>
      </c>
      <c r="B686" s="92">
        <v>43574</v>
      </c>
      <c r="C686" t="s">
        <v>782</v>
      </c>
    </row>
    <row r="687" spans="1:3" x14ac:dyDescent="0.3">
      <c r="B687" s="92">
        <v>43576</v>
      </c>
      <c r="C687" t="s">
        <v>783</v>
      </c>
    </row>
    <row r="688" spans="1:3" x14ac:dyDescent="0.3">
      <c r="B688" s="92">
        <v>43579</v>
      </c>
      <c r="C688" t="s">
        <v>784</v>
      </c>
    </row>
    <row r="689" spans="1:3" x14ac:dyDescent="0.3">
      <c r="B689" s="92">
        <v>43590</v>
      </c>
      <c r="C689" t="s">
        <v>785</v>
      </c>
    </row>
    <row r="690" spans="1:3" x14ac:dyDescent="0.3">
      <c r="B690" s="92">
        <v>43595</v>
      </c>
      <c r="C690" t="s">
        <v>786</v>
      </c>
    </row>
    <row r="691" spans="1:3" x14ac:dyDescent="0.3">
      <c r="B691" s="92">
        <v>43596</v>
      </c>
      <c r="C691" t="s">
        <v>787</v>
      </c>
    </row>
    <row r="692" spans="1:3" x14ac:dyDescent="0.3">
      <c r="B692" s="92">
        <v>43604</v>
      </c>
      <c r="C692" t="s">
        <v>788</v>
      </c>
    </row>
    <row r="693" spans="1:3" x14ac:dyDescent="0.3">
      <c r="B693" s="92">
        <v>43625</v>
      </c>
      <c r="C693" t="s">
        <v>789</v>
      </c>
    </row>
    <row r="694" spans="1:3" x14ac:dyDescent="0.3">
      <c r="A694" t="s">
        <v>106</v>
      </c>
      <c r="B694" s="92">
        <v>43651</v>
      </c>
      <c r="C694" t="s">
        <v>790</v>
      </c>
    </row>
    <row r="695" spans="1:3" x14ac:dyDescent="0.3">
      <c r="B695" s="92">
        <v>43659</v>
      </c>
      <c r="C695" t="s">
        <v>791</v>
      </c>
    </row>
    <row r="696" spans="1:3" x14ac:dyDescent="0.3">
      <c r="B696" s="92">
        <v>43680</v>
      </c>
      <c r="C696" t="s">
        <v>587</v>
      </c>
    </row>
    <row r="697" spans="1:3" x14ac:dyDescent="0.3">
      <c r="A697" t="s">
        <v>86</v>
      </c>
      <c r="B697" s="92">
        <v>43471</v>
      </c>
      <c r="C697" t="s">
        <v>792</v>
      </c>
    </row>
    <row r="698" spans="1:3" x14ac:dyDescent="0.3">
      <c r="B698" s="92">
        <v>43497</v>
      </c>
      <c r="C698" t="s">
        <v>793</v>
      </c>
    </row>
    <row r="699" spans="1:3" x14ac:dyDescent="0.3">
      <c r="B699" s="92">
        <v>43514</v>
      </c>
      <c r="C699" t="s">
        <v>794</v>
      </c>
    </row>
    <row r="700" spans="1:3" x14ac:dyDescent="0.3">
      <c r="B700" s="92">
        <v>43515</v>
      </c>
      <c r="C700" t="s">
        <v>795</v>
      </c>
    </row>
    <row r="701" spans="1:3" x14ac:dyDescent="0.3">
      <c r="B701" s="92">
        <v>43519</v>
      </c>
      <c r="C701" t="s">
        <v>796</v>
      </c>
    </row>
    <row r="702" spans="1:3" x14ac:dyDescent="0.3">
      <c r="C702" t="s">
        <v>797</v>
      </c>
    </row>
    <row r="703" spans="1:3" x14ac:dyDescent="0.3">
      <c r="B703" s="92">
        <v>43523</v>
      </c>
      <c r="C703" t="s">
        <v>798</v>
      </c>
    </row>
    <row r="704" spans="1:3" x14ac:dyDescent="0.3">
      <c r="B704" s="92">
        <v>43524</v>
      </c>
      <c r="C704" t="s">
        <v>799</v>
      </c>
    </row>
    <row r="705" spans="1:3" x14ac:dyDescent="0.3">
      <c r="A705" t="s">
        <v>14</v>
      </c>
      <c r="B705" s="92">
        <v>43478</v>
      </c>
      <c r="C705" t="s">
        <v>183</v>
      </c>
    </row>
    <row r="706" spans="1:3" x14ac:dyDescent="0.3">
      <c r="B706" s="92">
        <v>43483</v>
      </c>
      <c r="C706" t="s">
        <v>800</v>
      </c>
    </row>
    <row r="707" spans="1:3" x14ac:dyDescent="0.3">
      <c r="B707" s="92">
        <v>43487</v>
      </c>
      <c r="C707" t="s">
        <v>801</v>
      </c>
    </row>
    <row r="708" spans="1:3" x14ac:dyDescent="0.3">
      <c r="B708" s="92">
        <v>43489</v>
      </c>
      <c r="C708" t="s">
        <v>802</v>
      </c>
    </row>
    <row r="709" spans="1:3" x14ac:dyDescent="0.3">
      <c r="B709" s="92">
        <v>43490</v>
      </c>
      <c r="C709" t="s">
        <v>803</v>
      </c>
    </row>
    <row r="710" spans="1:3" x14ac:dyDescent="0.3">
      <c r="B710" s="92">
        <v>43492</v>
      </c>
      <c r="C710" t="s">
        <v>804</v>
      </c>
    </row>
    <row r="711" spans="1:3" x14ac:dyDescent="0.3">
      <c r="B711" s="92">
        <v>43494</v>
      </c>
      <c r="C711" t="s">
        <v>805</v>
      </c>
    </row>
    <row r="712" spans="1:3" x14ac:dyDescent="0.3">
      <c r="B712" s="92">
        <v>43496</v>
      </c>
      <c r="C712" t="s">
        <v>806</v>
      </c>
    </row>
    <row r="713" spans="1:3" x14ac:dyDescent="0.3">
      <c r="B713" s="92">
        <v>43497</v>
      </c>
      <c r="C713" t="s">
        <v>807</v>
      </c>
    </row>
    <row r="714" spans="1:3" x14ac:dyDescent="0.3">
      <c r="B714" s="92">
        <v>43503</v>
      </c>
      <c r="C714" t="s">
        <v>808</v>
      </c>
    </row>
    <row r="715" spans="1:3" x14ac:dyDescent="0.3">
      <c r="B715" s="92">
        <v>43505</v>
      </c>
      <c r="C715" t="s">
        <v>809</v>
      </c>
    </row>
    <row r="716" spans="1:3" x14ac:dyDescent="0.3">
      <c r="B716" s="92">
        <v>43510</v>
      </c>
      <c r="C716" t="s">
        <v>810</v>
      </c>
    </row>
    <row r="717" spans="1:3" x14ac:dyDescent="0.3">
      <c r="B717" s="92">
        <v>43512</v>
      </c>
      <c r="C717" t="s">
        <v>811</v>
      </c>
    </row>
    <row r="718" spans="1:3" x14ac:dyDescent="0.3">
      <c r="B718" s="92">
        <v>43520</v>
      </c>
      <c r="C718" t="s">
        <v>812</v>
      </c>
    </row>
    <row r="719" spans="1:3" x14ac:dyDescent="0.3">
      <c r="B719" s="92">
        <v>43524</v>
      </c>
      <c r="C719" t="s">
        <v>813</v>
      </c>
    </row>
    <row r="720" spans="1:3" x14ac:dyDescent="0.3">
      <c r="B720" s="92">
        <v>43526</v>
      </c>
      <c r="C720" t="s">
        <v>814</v>
      </c>
    </row>
    <row r="721" spans="2:3" x14ac:dyDescent="0.3">
      <c r="B721" s="92">
        <v>43530</v>
      </c>
      <c r="C721" t="s">
        <v>815</v>
      </c>
    </row>
    <row r="722" spans="2:3" x14ac:dyDescent="0.3">
      <c r="B722" s="92">
        <v>43533</v>
      </c>
      <c r="C722" t="s">
        <v>816</v>
      </c>
    </row>
    <row r="723" spans="2:3" x14ac:dyDescent="0.3">
      <c r="B723" s="92">
        <v>43540</v>
      </c>
      <c r="C723" t="s">
        <v>356</v>
      </c>
    </row>
    <row r="724" spans="2:3" x14ac:dyDescent="0.3">
      <c r="B724" s="92">
        <v>43541</v>
      </c>
      <c r="C724" t="s">
        <v>817</v>
      </c>
    </row>
    <row r="725" spans="2:3" x14ac:dyDescent="0.3">
      <c r="B725" s="92">
        <v>43547</v>
      </c>
      <c r="C725" t="s">
        <v>818</v>
      </c>
    </row>
    <row r="726" spans="2:3" x14ac:dyDescent="0.3">
      <c r="B726" s="92">
        <v>43554</v>
      </c>
      <c r="C726" t="s">
        <v>819</v>
      </c>
    </row>
    <row r="727" spans="2:3" x14ac:dyDescent="0.3">
      <c r="B727" s="92">
        <v>43555</v>
      </c>
      <c r="C727" t="s">
        <v>820</v>
      </c>
    </row>
    <row r="728" spans="2:3" x14ac:dyDescent="0.3">
      <c r="B728" s="92">
        <v>43562</v>
      </c>
      <c r="C728" t="s">
        <v>821</v>
      </c>
    </row>
    <row r="729" spans="2:3" x14ac:dyDescent="0.3">
      <c r="B729" s="92">
        <v>43576</v>
      </c>
      <c r="C729" t="s">
        <v>822</v>
      </c>
    </row>
    <row r="730" spans="2:3" x14ac:dyDescent="0.3">
      <c r="B730" s="92">
        <v>43583</v>
      </c>
      <c r="C730" t="s">
        <v>823</v>
      </c>
    </row>
    <row r="731" spans="2:3" x14ac:dyDescent="0.3">
      <c r="B731" s="92">
        <v>43586</v>
      </c>
      <c r="C731" t="s">
        <v>824</v>
      </c>
    </row>
    <row r="732" spans="2:3" x14ac:dyDescent="0.3">
      <c r="B732" s="92">
        <v>43589</v>
      </c>
      <c r="C732" t="s">
        <v>825</v>
      </c>
    </row>
    <row r="733" spans="2:3" x14ac:dyDescent="0.3">
      <c r="B733" s="92">
        <v>43617</v>
      </c>
      <c r="C733" t="s">
        <v>826</v>
      </c>
    </row>
    <row r="734" spans="2:3" x14ac:dyDescent="0.3">
      <c r="B734" s="92">
        <v>43619</v>
      </c>
      <c r="C734" t="s">
        <v>827</v>
      </c>
    </row>
    <row r="735" spans="2:3" x14ac:dyDescent="0.3">
      <c r="B735" s="92">
        <v>43638</v>
      </c>
      <c r="C735" t="s">
        <v>828</v>
      </c>
    </row>
    <row r="736" spans="2:3" x14ac:dyDescent="0.3">
      <c r="B736" s="92">
        <v>43639</v>
      </c>
      <c r="C736" t="s">
        <v>829</v>
      </c>
    </row>
    <row r="737" spans="2:3" x14ac:dyDescent="0.3">
      <c r="B737" s="92">
        <v>43652</v>
      </c>
      <c r="C737" t="s">
        <v>830</v>
      </c>
    </row>
    <row r="738" spans="2:3" x14ac:dyDescent="0.3">
      <c r="B738" s="92">
        <v>43665</v>
      </c>
      <c r="C738" t="s">
        <v>831</v>
      </c>
    </row>
    <row r="739" spans="2:3" x14ac:dyDescent="0.3">
      <c r="B739" s="92">
        <v>43666</v>
      </c>
      <c r="C739" t="s">
        <v>832</v>
      </c>
    </row>
    <row r="740" spans="2:3" x14ac:dyDescent="0.3">
      <c r="B740" s="92">
        <v>43677</v>
      </c>
      <c r="C740" t="s">
        <v>833</v>
      </c>
    </row>
    <row r="741" spans="2:3" x14ac:dyDescent="0.3">
      <c r="B741" s="92">
        <v>43681</v>
      </c>
      <c r="C741" t="s">
        <v>834</v>
      </c>
    </row>
    <row r="742" spans="2:3" x14ac:dyDescent="0.3">
      <c r="B742" s="92">
        <v>43684</v>
      </c>
      <c r="C742" t="s">
        <v>835</v>
      </c>
    </row>
    <row r="743" spans="2:3" x14ac:dyDescent="0.3">
      <c r="B743" s="92">
        <v>43694</v>
      </c>
      <c r="C743" t="s">
        <v>836</v>
      </c>
    </row>
    <row r="744" spans="2:3" x14ac:dyDescent="0.3">
      <c r="B744" s="92">
        <v>43707</v>
      </c>
      <c r="C744" t="s">
        <v>837</v>
      </c>
    </row>
    <row r="745" spans="2:3" x14ac:dyDescent="0.3">
      <c r="B745" s="92">
        <v>43709</v>
      </c>
      <c r="C745" t="s">
        <v>838</v>
      </c>
    </row>
    <row r="746" spans="2:3" x14ac:dyDescent="0.3">
      <c r="C746" t="s">
        <v>839</v>
      </c>
    </row>
    <row r="747" spans="2:3" x14ac:dyDescent="0.3">
      <c r="B747" s="92">
        <v>43710</v>
      </c>
      <c r="C747" t="s">
        <v>840</v>
      </c>
    </row>
    <row r="748" spans="2:3" x14ac:dyDescent="0.3">
      <c r="B748" s="92">
        <v>43723</v>
      </c>
      <c r="C748" t="s">
        <v>841</v>
      </c>
    </row>
    <row r="749" spans="2:3" x14ac:dyDescent="0.3">
      <c r="B749" s="92">
        <v>43729</v>
      </c>
      <c r="C749" t="s">
        <v>842</v>
      </c>
    </row>
    <row r="750" spans="2:3" x14ac:dyDescent="0.3">
      <c r="B750" s="92">
        <v>43730</v>
      </c>
      <c r="C750" t="s">
        <v>843</v>
      </c>
    </row>
    <row r="751" spans="2:3" x14ac:dyDescent="0.3">
      <c r="B751" s="92">
        <v>43737</v>
      </c>
      <c r="C751" t="s">
        <v>844</v>
      </c>
    </row>
    <row r="752" spans="2:3" x14ac:dyDescent="0.3">
      <c r="B752" s="92">
        <v>43743</v>
      </c>
      <c r="C752" t="s">
        <v>845</v>
      </c>
    </row>
    <row r="753" spans="1:3" x14ac:dyDescent="0.3">
      <c r="B753" s="92">
        <v>43746</v>
      </c>
      <c r="C753" t="s">
        <v>846</v>
      </c>
    </row>
    <row r="754" spans="1:3" x14ac:dyDescent="0.3">
      <c r="B754" s="92">
        <v>43749</v>
      </c>
      <c r="C754" t="s">
        <v>847</v>
      </c>
    </row>
    <row r="755" spans="1:3" x14ac:dyDescent="0.3">
      <c r="B755" s="92">
        <v>43750</v>
      </c>
      <c r="C755" t="s">
        <v>848</v>
      </c>
    </row>
    <row r="756" spans="1:3" x14ac:dyDescent="0.3">
      <c r="B756" s="92">
        <v>43751</v>
      </c>
      <c r="C756" t="s">
        <v>849</v>
      </c>
    </row>
    <row r="757" spans="1:3" x14ac:dyDescent="0.3">
      <c r="B757" s="92">
        <v>43757</v>
      </c>
      <c r="C757" t="s">
        <v>850</v>
      </c>
    </row>
    <row r="758" spans="1:3" x14ac:dyDescent="0.3">
      <c r="B758" s="92">
        <v>43758</v>
      </c>
      <c r="C758" t="s">
        <v>851</v>
      </c>
    </row>
    <row r="759" spans="1:3" x14ac:dyDescent="0.3">
      <c r="B759" s="92">
        <v>43764</v>
      </c>
      <c r="C759" t="s">
        <v>852</v>
      </c>
    </row>
    <row r="760" spans="1:3" x14ac:dyDescent="0.3">
      <c r="B760" s="92">
        <v>43765</v>
      </c>
      <c r="C760" t="s">
        <v>853</v>
      </c>
    </row>
    <row r="761" spans="1:3" x14ac:dyDescent="0.3">
      <c r="B761" s="92">
        <v>43771</v>
      </c>
      <c r="C761" t="s">
        <v>854</v>
      </c>
    </row>
    <row r="762" spans="1:3" x14ac:dyDescent="0.3">
      <c r="B762" s="92">
        <v>43772</v>
      </c>
      <c r="C762" t="s">
        <v>855</v>
      </c>
    </row>
    <row r="763" spans="1:3" x14ac:dyDescent="0.3">
      <c r="B763" s="92">
        <v>43778</v>
      </c>
      <c r="C763" t="s">
        <v>856</v>
      </c>
    </row>
    <row r="764" spans="1:3" x14ac:dyDescent="0.3">
      <c r="B764" s="92">
        <v>43782</v>
      </c>
      <c r="C764" t="s">
        <v>857</v>
      </c>
    </row>
    <row r="765" spans="1:3" x14ac:dyDescent="0.3">
      <c r="A765" t="s">
        <v>23</v>
      </c>
      <c r="B765" s="92">
        <v>43484</v>
      </c>
      <c r="C765" t="s">
        <v>858</v>
      </c>
    </row>
    <row r="766" spans="1:3" x14ac:dyDescent="0.3">
      <c r="B766" s="92">
        <v>43489</v>
      </c>
      <c r="C766" t="s">
        <v>593</v>
      </c>
    </row>
    <row r="767" spans="1:3" x14ac:dyDescent="0.3">
      <c r="B767" s="92">
        <v>43491</v>
      </c>
      <c r="C767" t="s">
        <v>355</v>
      </c>
    </row>
    <row r="768" spans="1:3" x14ac:dyDescent="0.3">
      <c r="B768" s="92">
        <v>43492</v>
      </c>
      <c r="C768" t="s">
        <v>859</v>
      </c>
    </row>
    <row r="769" spans="2:3" x14ac:dyDescent="0.3">
      <c r="B769" s="92">
        <v>43498</v>
      </c>
      <c r="C769" t="s">
        <v>860</v>
      </c>
    </row>
    <row r="770" spans="2:3" x14ac:dyDescent="0.3">
      <c r="B770" s="92">
        <v>43504</v>
      </c>
      <c r="C770" t="s">
        <v>861</v>
      </c>
    </row>
    <row r="771" spans="2:3" x14ac:dyDescent="0.3">
      <c r="B771" s="92">
        <v>43512</v>
      </c>
      <c r="C771" t="s">
        <v>801</v>
      </c>
    </row>
    <row r="772" spans="2:3" x14ac:dyDescent="0.3">
      <c r="B772" s="92">
        <v>43527</v>
      </c>
      <c r="C772" t="s">
        <v>862</v>
      </c>
    </row>
    <row r="773" spans="2:3" x14ac:dyDescent="0.3">
      <c r="C773" t="s">
        <v>863</v>
      </c>
    </row>
    <row r="774" spans="2:3" x14ac:dyDescent="0.3">
      <c r="B774" s="92">
        <v>43541</v>
      </c>
      <c r="C774" t="s">
        <v>864</v>
      </c>
    </row>
    <row r="775" spans="2:3" x14ac:dyDescent="0.3">
      <c r="B775" s="92">
        <v>43554</v>
      </c>
      <c r="C775" t="s">
        <v>774</v>
      </c>
    </row>
    <row r="776" spans="2:3" x14ac:dyDescent="0.3">
      <c r="B776" s="92">
        <v>43560</v>
      </c>
      <c r="C776" t="s">
        <v>865</v>
      </c>
    </row>
    <row r="777" spans="2:3" x14ac:dyDescent="0.3">
      <c r="B777" s="92">
        <v>43562</v>
      </c>
      <c r="C777" t="s">
        <v>866</v>
      </c>
    </row>
    <row r="778" spans="2:3" x14ac:dyDescent="0.3">
      <c r="B778" s="92">
        <v>43569</v>
      </c>
      <c r="C778" t="s">
        <v>867</v>
      </c>
    </row>
    <row r="779" spans="2:3" x14ac:dyDescent="0.3">
      <c r="B779" s="92">
        <v>43574</v>
      </c>
      <c r="C779" t="s">
        <v>868</v>
      </c>
    </row>
    <row r="780" spans="2:3" x14ac:dyDescent="0.3">
      <c r="B780" s="92">
        <v>43575</v>
      </c>
      <c r="C780" t="s">
        <v>869</v>
      </c>
    </row>
    <row r="781" spans="2:3" x14ac:dyDescent="0.3">
      <c r="B781" s="92">
        <v>43593</v>
      </c>
      <c r="C781" t="s">
        <v>870</v>
      </c>
    </row>
    <row r="782" spans="2:3" x14ac:dyDescent="0.3">
      <c r="B782" s="92">
        <v>43604</v>
      </c>
      <c r="C782" t="s">
        <v>871</v>
      </c>
    </row>
    <row r="783" spans="2:3" x14ac:dyDescent="0.3">
      <c r="B783" s="92">
        <v>43618</v>
      </c>
      <c r="C783" t="s">
        <v>872</v>
      </c>
    </row>
    <row r="784" spans="2:3" x14ac:dyDescent="0.3">
      <c r="B784" s="92">
        <v>43626</v>
      </c>
      <c r="C784" t="s">
        <v>873</v>
      </c>
    </row>
    <row r="785" spans="2:3" x14ac:dyDescent="0.3">
      <c r="B785" s="92">
        <v>43639</v>
      </c>
      <c r="C785" t="s">
        <v>874</v>
      </c>
    </row>
    <row r="786" spans="2:3" x14ac:dyDescent="0.3">
      <c r="B786" s="92">
        <v>43653</v>
      </c>
      <c r="C786" t="s">
        <v>971</v>
      </c>
    </row>
    <row r="787" spans="2:3" x14ac:dyDescent="0.3">
      <c r="B787" s="92">
        <v>43660</v>
      </c>
      <c r="C787" t="s">
        <v>876</v>
      </c>
    </row>
    <row r="788" spans="2:3" x14ac:dyDescent="0.3">
      <c r="B788" s="92">
        <v>43662</v>
      </c>
      <c r="C788" t="s">
        <v>877</v>
      </c>
    </row>
    <row r="789" spans="2:3" x14ac:dyDescent="0.3">
      <c r="B789" s="92">
        <v>43674</v>
      </c>
      <c r="C789" t="s">
        <v>878</v>
      </c>
    </row>
    <row r="790" spans="2:3" x14ac:dyDescent="0.3">
      <c r="B790" s="92">
        <v>43675</v>
      </c>
      <c r="C790" t="s">
        <v>879</v>
      </c>
    </row>
    <row r="791" spans="2:3" x14ac:dyDescent="0.3">
      <c r="B791" s="92">
        <v>43689</v>
      </c>
      <c r="C791" t="s">
        <v>880</v>
      </c>
    </row>
    <row r="792" spans="2:3" x14ac:dyDescent="0.3">
      <c r="B792" s="92">
        <v>43690</v>
      </c>
      <c r="C792" t="s">
        <v>881</v>
      </c>
    </row>
    <row r="793" spans="2:3" x14ac:dyDescent="0.3">
      <c r="B793" s="92">
        <v>43691</v>
      </c>
      <c r="C793" t="s">
        <v>882</v>
      </c>
    </row>
    <row r="794" spans="2:3" x14ac:dyDescent="0.3">
      <c r="B794" s="92">
        <v>43694</v>
      </c>
      <c r="C794" t="s">
        <v>883</v>
      </c>
    </row>
    <row r="795" spans="2:3" x14ac:dyDescent="0.3">
      <c r="B795" s="92">
        <v>43697</v>
      </c>
      <c r="C795" t="s">
        <v>884</v>
      </c>
    </row>
    <row r="796" spans="2:3" x14ac:dyDescent="0.3">
      <c r="B796" s="92">
        <v>43714</v>
      </c>
      <c r="C796" t="s">
        <v>885</v>
      </c>
    </row>
    <row r="797" spans="2:3" x14ac:dyDescent="0.3">
      <c r="B797" s="92">
        <v>43715</v>
      </c>
      <c r="C797" t="s">
        <v>886</v>
      </c>
    </row>
    <row r="798" spans="2:3" x14ac:dyDescent="0.3">
      <c r="B798" s="92">
        <v>43716</v>
      </c>
      <c r="C798" t="s">
        <v>887</v>
      </c>
    </row>
    <row r="799" spans="2:3" x14ac:dyDescent="0.3">
      <c r="B799" s="92">
        <v>43723</v>
      </c>
      <c r="C799" t="s">
        <v>888</v>
      </c>
    </row>
    <row r="800" spans="2:3" x14ac:dyDescent="0.3">
      <c r="B800" s="92">
        <v>43729</v>
      </c>
      <c r="C800" t="s">
        <v>972</v>
      </c>
    </row>
    <row r="801" spans="1:3" x14ac:dyDescent="0.3">
      <c r="B801" s="92">
        <v>43736</v>
      </c>
      <c r="C801" t="s">
        <v>890</v>
      </c>
    </row>
    <row r="802" spans="1:3" x14ac:dyDescent="0.3">
      <c r="B802" s="92">
        <v>43744</v>
      </c>
      <c r="C802" t="s">
        <v>891</v>
      </c>
    </row>
    <row r="803" spans="1:3" x14ac:dyDescent="0.3">
      <c r="B803" s="92">
        <v>43751</v>
      </c>
      <c r="C803" t="s">
        <v>892</v>
      </c>
    </row>
    <row r="804" spans="1:3" x14ac:dyDescent="0.3">
      <c r="B804" s="92">
        <v>43758</v>
      </c>
      <c r="C804" t="s">
        <v>893</v>
      </c>
    </row>
    <row r="805" spans="1:3" x14ac:dyDescent="0.3">
      <c r="B805" s="92">
        <v>43766</v>
      </c>
      <c r="C805" t="s">
        <v>973</v>
      </c>
    </row>
    <row r="806" spans="1:3" x14ac:dyDescent="0.3">
      <c r="B806" s="92">
        <v>43778</v>
      </c>
      <c r="C806" t="s">
        <v>895</v>
      </c>
    </row>
    <row r="807" spans="1:3" x14ac:dyDescent="0.3">
      <c r="B807" s="92">
        <v>43783</v>
      </c>
      <c r="C807" t="s">
        <v>896</v>
      </c>
    </row>
    <row r="808" spans="1:3" x14ac:dyDescent="0.3">
      <c r="B808" s="92">
        <v>43784</v>
      </c>
      <c r="C808" t="s">
        <v>897</v>
      </c>
    </row>
    <row r="809" spans="1:3" x14ac:dyDescent="0.3">
      <c r="A809" t="s">
        <v>974</v>
      </c>
      <c r="B809" s="92" t="s">
        <v>974</v>
      </c>
      <c r="C809" t="s">
        <v>974</v>
      </c>
    </row>
  </sheetData>
  <conditionalFormatting sqref="A1:A1540">
    <cfRule type="notContainsBlanks" dxfId="2" priority="1">
      <formula>LEN(TRIM(A1))&gt;0</formula>
    </cfRule>
  </conditionalFormatting>
  <conditionalFormatting sqref="B1:B1540">
    <cfRule type="notContainsBlanks" dxfId="1" priority="2">
      <formula>LEN(TRIM(B1))&gt;0</formula>
    </cfRule>
  </conditionalFormatting>
  <conditionalFormatting sqref="C1:C1540">
    <cfRule type="notContainsBlanks" dxfId="0" priority="3">
      <formula>LEN(TRIM(C1))&gt;0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9999"/>
  </sheetPr>
  <dimension ref="A1:AB1000"/>
  <sheetViews>
    <sheetView tabSelected="1" zoomScale="85" zoomScaleNormal="85" workbookViewId="0">
      <pane ySplit="1" topLeftCell="A2" activePane="bottomLeft" state="frozen"/>
      <selection pane="bottomLeft" activeCell="D8" sqref="D8"/>
    </sheetView>
  </sheetViews>
  <sheetFormatPr defaultColWidth="14.44140625" defaultRowHeight="15" customHeight="1" x14ac:dyDescent="0.3"/>
  <cols>
    <col min="1" max="1" width="2.109375" customWidth="1"/>
    <col min="2" max="2" width="10.5546875" customWidth="1"/>
    <col min="3" max="3" width="18.5546875" customWidth="1"/>
    <col min="4" max="4" width="14.5546875" customWidth="1"/>
    <col min="5" max="5" width="6.6640625" customWidth="1"/>
    <col min="6" max="6" width="8" customWidth="1"/>
    <col min="7" max="8" width="8.33203125" customWidth="1"/>
    <col min="9" max="9" width="8.88671875" customWidth="1"/>
    <col min="10" max="10" width="9" customWidth="1"/>
    <col min="11" max="11" width="8.88671875" customWidth="1"/>
    <col min="12" max="12" width="9.5546875" customWidth="1"/>
    <col min="13" max="14" width="8.88671875" customWidth="1"/>
    <col min="15" max="15" width="44.88671875" customWidth="1"/>
    <col min="16" max="16" width="23.5546875" customWidth="1"/>
    <col min="17" max="17" width="25.33203125" customWidth="1"/>
    <col min="18" max="28" width="9.109375" customWidth="1"/>
  </cols>
  <sheetData>
    <row r="1" spans="1:28" ht="40.200000000000003" x14ac:dyDescent="0.3">
      <c r="A1" s="31" t="s">
        <v>898</v>
      </c>
      <c r="B1" s="32" t="s">
        <v>181</v>
      </c>
      <c r="C1" s="33" t="s">
        <v>1</v>
      </c>
      <c r="D1" s="33" t="s">
        <v>2</v>
      </c>
      <c r="E1" s="34" t="s">
        <v>899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179</v>
      </c>
      <c r="N1" s="36" t="s">
        <v>180</v>
      </c>
      <c r="O1" s="37" t="s">
        <v>900</v>
      </c>
      <c r="P1" s="38" t="s">
        <v>901</v>
      </c>
      <c r="Q1" s="39" t="s">
        <v>902</v>
      </c>
      <c r="R1" s="40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14.4" x14ac:dyDescent="0.3">
      <c r="A2" s="42"/>
      <c r="B2" s="94">
        <v>43653</v>
      </c>
      <c r="C2" s="95" t="s">
        <v>23</v>
      </c>
      <c r="D2" s="95" t="s">
        <v>24</v>
      </c>
      <c r="E2" s="44">
        <f>SUM(F2:N2)</f>
        <v>27</v>
      </c>
      <c r="F2" s="96"/>
      <c r="G2" s="96">
        <v>2</v>
      </c>
      <c r="H2" s="96">
        <v>3</v>
      </c>
      <c r="I2" s="96">
        <v>10</v>
      </c>
      <c r="J2" s="96">
        <v>6</v>
      </c>
      <c r="K2" s="96">
        <v>2</v>
      </c>
      <c r="L2" s="96">
        <v>4</v>
      </c>
      <c r="M2" s="96"/>
      <c r="N2" s="96"/>
      <c r="O2" s="45" t="s">
        <v>875</v>
      </c>
      <c r="P2" s="98" t="s">
        <v>949</v>
      </c>
      <c r="Q2" s="47"/>
      <c r="R2" s="48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 spans="1:28" ht="14.4" x14ac:dyDescent="0.3">
      <c r="A3" s="50"/>
      <c r="B3" s="51">
        <v>43469</v>
      </c>
      <c r="C3" s="52" t="s">
        <v>26</v>
      </c>
      <c r="D3" s="52" t="s">
        <v>27</v>
      </c>
      <c r="E3" s="53">
        <f>SUM(F3:N3)</f>
        <v>1</v>
      </c>
      <c r="F3" s="54"/>
      <c r="G3" s="54"/>
      <c r="H3" s="54"/>
      <c r="I3" s="54"/>
      <c r="J3" s="54">
        <v>1</v>
      </c>
      <c r="K3" s="54"/>
      <c r="L3" s="54"/>
      <c r="M3" s="54"/>
      <c r="N3" s="54"/>
      <c r="O3" s="55" t="s">
        <v>516</v>
      </c>
      <c r="P3" s="56" t="s">
        <v>903</v>
      </c>
      <c r="Q3" s="57"/>
      <c r="R3" s="58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1:28" ht="14.4" x14ac:dyDescent="0.3">
      <c r="A4" s="50"/>
      <c r="B4" s="61">
        <v>43594</v>
      </c>
      <c r="C4" s="62" t="s">
        <v>17</v>
      </c>
      <c r="D4" s="62" t="s">
        <v>18</v>
      </c>
      <c r="E4" s="53">
        <f>SUM(F4:N4)</f>
        <v>3</v>
      </c>
      <c r="F4" s="63"/>
      <c r="G4" s="63"/>
      <c r="H4" s="63"/>
      <c r="I4" s="63"/>
      <c r="J4" s="63">
        <v>2</v>
      </c>
      <c r="K4" s="63"/>
      <c r="L4" s="63">
        <v>1</v>
      </c>
      <c r="M4" s="63"/>
      <c r="N4" s="63"/>
      <c r="O4" s="69" t="s">
        <v>943</v>
      </c>
      <c r="P4" s="56" t="s">
        <v>903</v>
      </c>
      <c r="Q4" s="68" t="s">
        <v>944</v>
      </c>
      <c r="R4" s="58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 spans="1:28" ht="14.4" x14ac:dyDescent="0.3">
      <c r="A5" s="50"/>
      <c r="B5" s="51">
        <v>40127</v>
      </c>
      <c r="C5" s="80" t="s">
        <v>65</v>
      </c>
      <c r="D5" s="80" t="s">
        <v>66</v>
      </c>
      <c r="E5" s="53">
        <f>SUM(F5:N5)</f>
        <v>1</v>
      </c>
      <c r="F5" s="81"/>
      <c r="G5" s="81"/>
      <c r="H5" s="81"/>
      <c r="I5" s="81"/>
      <c r="J5" s="81">
        <v>1</v>
      </c>
      <c r="K5" s="81"/>
      <c r="L5" s="81"/>
      <c r="M5" s="81"/>
      <c r="N5" s="81"/>
      <c r="O5" s="64" t="s">
        <v>767</v>
      </c>
      <c r="P5" s="56"/>
      <c r="Q5" s="57"/>
      <c r="R5" s="58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spans="1:28" ht="14.4" x14ac:dyDescent="0.3">
      <c r="A6" s="50"/>
      <c r="B6" s="51">
        <v>43471</v>
      </c>
      <c r="C6" s="52" t="s">
        <v>86</v>
      </c>
      <c r="D6" s="52" t="s">
        <v>87</v>
      </c>
      <c r="E6" s="53">
        <f>SUM(F6:N6)</f>
        <v>1</v>
      </c>
      <c r="F6" s="54"/>
      <c r="G6" s="54"/>
      <c r="H6" s="54"/>
      <c r="I6" s="54">
        <v>1</v>
      </c>
      <c r="J6" s="54"/>
      <c r="K6" s="54"/>
      <c r="L6" s="54"/>
      <c r="M6" s="54"/>
      <c r="N6" s="54"/>
      <c r="O6" s="60" t="s">
        <v>792</v>
      </c>
      <c r="P6" s="56"/>
      <c r="Q6" s="57"/>
      <c r="R6" s="58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 spans="1:28" ht="14.4" x14ac:dyDescent="0.3">
      <c r="A7" s="50"/>
      <c r="B7" s="61">
        <v>43472</v>
      </c>
      <c r="C7" s="62" t="s">
        <v>89</v>
      </c>
      <c r="D7" s="62" t="s">
        <v>90</v>
      </c>
      <c r="E7" s="53">
        <f>SUM(F7:N7)</f>
        <v>1</v>
      </c>
      <c r="F7" s="63"/>
      <c r="G7" s="63">
        <v>1</v>
      </c>
      <c r="H7" s="63"/>
      <c r="I7" s="63"/>
      <c r="J7" s="63"/>
      <c r="K7" s="63"/>
      <c r="L7" s="63"/>
      <c r="M7" s="63"/>
      <c r="N7" s="63"/>
      <c r="O7" s="64" t="s">
        <v>613</v>
      </c>
      <c r="P7" s="56"/>
      <c r="Q7" s="57"/>
      <c r="R7" s="58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 spans="1:28" ht="14.4" x14ac:dyDescent="0.3">
      <c r="A8" s="50"/>
      <c r="B8" s="43">
        <v>43476</v>
      </c>
      <c r="C8" s="65" t="s">
        <v>26</v>
      </c>
      <c r="D8" s="65" t="s">
        <v>27</v>
      </c>
      <c r="E8" s="44">
        <f>SUM(F8:N8)</f>
        <v>2</v>
      </c>
      <c r="F8" s="66"/>
      <c r="G8" s="66">
        <v>1</v>
      </c>
      <c r="H8" s="66"/>
      <c r="I8" s="66"/>
      <c r="J8" s="66">
        <v>1</v>
      </c>
      <c r="K8" s="66"/>
      <c r="L8" s="66"/>
      <c r="M8" s="66"/>
      <c r="N8" s="66"/>
      <c r="O8" s="67" t="s">
        <v>517</v>
      </c>
      <c r="P8" s="46"/>
      <c r="Q8" s="57"/>
      <c r="R8" s="58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spans="1:28" ht="14.4" x14ac:dyDescent="0.3">
      <c r="A9" s="50"/>
      <c r="B9" s="51">
        <v>43476</v>
      </c>
      <c r="C9" s="52" t="s">
        <v>83</v>
      </c>
      <c r="D9" s="52" t="s">
        <v>84</v>
      </c>
      <c r="E9" s="53">
        <f>SUM(F9:N9)</f>
        <v>1</v>
      </c>
      <c r="F9" s="54"/>
      <c r="G9" s="54"/>
      <c r="H9" s="54">
        <v>1</v>
      </c>
      <c r="I9" s="54"/>
      <c r="J9" s="54"/>
      <c r="K9" s="54"/>
      <c r="L9" s="54"/>
      <c r="M9" s="54"/>
      <c r="N9" s="54"/>
      <c r="O9" s="60" t="s">
        <v>747</v>
      </c>
      <c r="P9" s="56"/>
      <c r="Q9" s="57"/>
      <c r="R9" s="58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spans="1:28" ht="14.4" x14ac:dyDescent="0.3">
      <c r="A10" s="50"/>
      <c r="B10" s="51">
        <v>43477</v>
      </c>
      <c r="C10" s="52" t="s">
        <v>17</v>
      </c>
      <c r="D10" s="52" t="s">
        <v>18</v>
      </c>
      <c r="E10" s="53">
        <f>SUM(F10:N10)</f>
        <v>3</v>
      </c>
      <c r="F10" s="54"/>
      <c r="G10" s="54">
        <v>2</v>
      </c>
      <c r="H10" s="54">
        <v>1</v>
      </c>
      <c r="I10" s="54"/>
      <c r="J10" s="54"/>
      <c r="K10" s="54"/>
      <c r="L10" s="54"/>
      <c r="M10" s="54"/>
      <c r="N10" s="54"/>
      <c r="O10" s="60" t="s">
        <v>247</v>
      </c>
      <c r="P10" s="56"/>
      <c r="Q10" s="68" t="s">
        <v>904</v>
      </c>
      <c r="R10" s="58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spans="1:28" ht="14.4" x14ac:dyDescent="0.3">
      <c r="A11" s="50"/>
      <c r="B11" s="51">
        <v>43477</v>
      </c>
      <c r="C11" s="52" t="s">
        <v>83</v>
      </c>
      <c r="D11" s="52" t="s">
        <v>84</v>
      </c>
      <c r="E11" s="53">
        <f>SUM(F11:N11)</f>
        <v>2</v>
      </c>
      <c r="F11" s="54">
        <v>1</v>
      </c>
      <c r="G11" s="54"/>
      <c r="H11" s="54"/>
      <c r="I11" s="54"/>
      <c r="J11" s="54">
        <v>1</v>
      </c>
      <c r="K11" s="54"/>
      <c r="L11" s="54"/>
      <c r="M11" s="54"/>
      <c r="N11" s="54"/>
      <c r="O11" s="60" t="s">
        <v>748</v>
      </c>
      <c r="P11" s="56"/>
      <c r="Q11" s="57"/>
      <c r="R11" s="58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spans="1:28" ht="14.4" x14ac:dyDescent="0.3">
      <c r="A12" s="50"/>
      <c r="B12" s="61">
        <v>43478</v>
      </c>
      <c r="C12" s="62" t="s">
        <v>133</v>
      </c>
      <c r="D12" s="62" t="s">
        <v>134</v>
      </c>
      <c r="E12" s="53">
        <f>SUM(F12:N12)</f>
        <v>2</v>
      </c>
      <c r="F12" s="63"/>
      <c r="G12" s="63"/>
      <c r="H12" s="63"/>
      <c r="I12" s="63">
        <v>1</v>
      </c>
      <c r="J12" s="63">
        <v>1</v>
      </c>
      <c r="K12" s="63"/>
      <c r="L12" s="63"/>
      <c r="M12" s="63"/>
      <c r="N12" s="63"/>
      <c r="O12" s="64" t="s">
        <v>183</v>
      </c>
      <c r="P12" s="56"/>
      <c r="Q12" s="57"/>
      <c r="R12" s="58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spans="1:28" ht="14.4" x14ac:dyDescent="0.3">
      <c r="A13" s="50"/>
      <c r="B13" s="61">
        <v>43478</v>
      </c>
      <c r="C13" s="62" t="s">
        <v>53</v>
      </c>
      <c r="D13" s="62" t="s">
        <v>54</v>
      </c>
      <c r="E13" s="53">
        <f>SUM(F13:N13)</f>
        <v>2</v>
      </c>
      <c r="F13" s="63"/>
      <c r="G13" s="63"/>
      <c r="H13" s="63"/>
      <c r="I13" s="63">
        <v>1</v>
      </c>
      <c r="J13" s="63">
        <v>1</v>
      </c>
      <c r="K13" s="63"/>
      <c r="L13" s="63"/>
      <c r="M13" s="63"/>
      <c r="N13" s="63"/>
      <c r="O13" s="64" t="s">
        <v>183</v>
      </c>
      <c r="P13" s="56"/>
      <c r="Q13" s="57"/>
      <c r="R13" s="58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spans="1:28" ht="14.4" x14ac:dyDescent="0.3">
      <c r="A14" s="50"/>
      <c r="B14" s="61">
        <v>43478</v>
      </c>
      <c r="C14" s="62" t="s">
        <v>109</v>
      </c>
      <c r="D14" s="62" t="s">
        <v>110</v>
      </c>
      <c r="E14" s="53">
        <f>SUM(F14:N14)</f>
        <v>1</v>
      </c>
      <c r="F14" s="63"/>
      <c r="G14" s="63"/>
      <c r="H14" s="63"/>
      <c r="I14" s="63">
        <v>1</v>
      </c>
      <c r="J14" s="63"/>
      <c r="K14" s="63"/>
      <c r="L14" s="63"/>
      <c r="M14" s="63"/>
      <c r="N14" s="63"/>
      <c r="O14" s="64" t="s">
        <v>607</v>
      </c>
      <c r="P14" s="56"/>
      <c r="Q14" s="57"/>
      <c r="R14" s="58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 spans="1:28" ht="14.4" x14ac:dyDescent="0.3">
      <c r="A15" s="50"/>
      <c r="B15" s="61">
        <v>43478</v>
      </c>
      <c r="C15" s="62" t="s">
        <v>38</v>
      </c>
      <c r="D15" s="62" t="s">
        <v>39</v>
      </c>
      <c r="E15" s="53">
        <f>SUM(F15:N15)</f>
        <v>1</v>
      </c>
      <c r="F15" s="63"/>
      <c r="G15" s="63"/>
      <c r="H15" s="63"/>
      <c r="I15" s="63"/>
      <c r="J15" s="63">
        <v>1</v>
      </c>
      <c r="K15" s="63"/>
      <c r="L15" s="63"/>
      <c r="M15" s="63"/>
      <c r="N15" s="63"/>
      <c r="O15" s="64" t="s">
        <v>488</v>
      </c>
      <c r="P15" s="56"/>
      <c r="Q15" s="57"/>
      <c r="R15" s="58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 spans="1:28" ht="14.4" x14ac:dyDescent="0.3">
      <c r="A16" s="50"/>
      <c r="B16" s="61">
        <v>43478</v>
      </c>
      <c r="C16" s="62" t="s">
        <v>14</v>
      </c>
      <c r="D16" s="62" t="s">
        <v>15</v>
      </c>
      <c r="E16" s="53">
        <f>SUM(F16:N16)</f>
        <v>2</v>
      </c>
      <c r="F16" s="63"/>
      <c r="G16" s="63"/>
      <c r="H16" s="63"/>
      <c r="I16" s="63">
        <v>1</v>
      </c>
      <c r="J16" s="63">
        <v>1</v>
      </c>
      <c r="K16" s="63"/>
      <c r="L16" s="63"/>
      <c r="M16" s="63"/>
      <c r="N16" s="63"/>
      <c r="O16" s="64" t="s">
        <v>183</v>
      </c>
      <c r="P16" s="56"/>
      <c r="Q16" s="57"/>
      <c r="R16" s="58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 spans="1:28" ht="14.4" x14ac:dyDescent="0.3">
      <c r="A17" s="50"/>
      <c r="B17" s="61">
        <v>43481</v>
      </c>
      <c r="C17" s="62" t="s">
        <v>17</v>
      </c>
      <c r="D17" s="52" t="s">
        <v>18</v>
      </c>
      <c r="E17" s="53">
        <f>SUM(F17:N17)</f>
        <v>1</v>
      </c>
      <c r="F17" s="63"/>
      <c r="G17" s="63">
        <v>1</v>
      </c>
      <c r="H17" s="63"/>
      <c r="I17" s="63"/>
      <c r="J17" s="63"/>
      <c r="K17" s="63"/>
      <c r="L17" s="63"/>
      <c r="M17" s="63"/>
      <c r="N17" s="63"/>
      <c r="O17" s="64" t="s">
        <v>248</v>
      </c>
      <c r="P17" s="56"/>
      <c r="Q17" s="57"/>
      <c r="R17" s="58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 spans="1:28" ht="14.4" x14ac:dyDescent="0.3">
      <c r="A18" s="50"/>
      <c r="B18" s="61">
        <v>43483</v>
      </c>
      <c r="C18" s="62" t="s">
        <v>14</v>
      </c>
      <c r="D18" s="62" t="s">
        <v>15</v>
      </c>
      <c r="E18" s="53">
        <f>SUM(F18:N18)</f>
        <v>2</v>
      </c>
      <c r="F18" s="63"/>
      <c r="G18" s="63"/>
      <c r="H18" s="63"/>
      <c r="I18" s="63"/>
      <c r="J18" s="63">
        <v>2</v>
      </c>
      <c r="K18" s="63"/>
      <c r="L18" s="63"/>
      <c r="M18" s="63"/>
      <c r="N18" s="63"/>
      <c r="O18" s="64" t="s">
        <v>800</v>
      </c>
      <c r="P18" s="56"/>
      <c r="Q18" s="57"/>
      <c r="R18" s="58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 spans="1:28" ht="14.4" x14ac:dyDescent="0.3">
      <c r="A19" s="50"/>
      <c r="B19" s="61">
        <v>43484</v>
      </c>
      <c r="C19" s="62" t="s">
        <v>17</v>
      </c>
      <c r="D19" s="52" t="s">
        <v>18</v>
      </c>
      <c r="E19" s="53">
        <f>SUM(F19:N19)</f>
        <v>5</v>
      </c>
      <c r="F19" s="63"/>
      <c r="G19" s="63">
        <v>1</v>
      </c>
      <c r="H19" s="63">
        <v>1</v>
      </c>
      <c r="I19" s="63"/>
      <c r="J19" s="63">
        <v>2</v>
      </c>
      <c r="K19" s="63">
        <v>1</v>
      </c>
      <c r="L19" s="63"/>
      <c r="M19" s="63"/>
      <c r="N19" s="63"/>
      <c r="O19" s="64" t="s">
        <v>249</v>
      </c>
      <c r="P19" s="56"/>
      <c r="Q19" s="68" t="s">
        <v>905</v>
      </c>
      <c r="R19" s="58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 spans="1:28" ht="14.4" x14ac:dyDescent="0.3">
      <c r="A20" s="50"/>
      <c r="B20" s="61">
        <v>43484</v>
      </c>
      <c r="C20" s="62" t="s">
        <v>50</v>
      </c>
      <c r="D20" s="62" t="s">
        <v>51</v>
      </c>
      <c r="E20" s="53">
        <f>SUM(F20:N20)</f>
        <v>5</v>
      </c>
      <c r="F20" s="63"/>
      <c r="G20" s="63">
        <v>2</v>
      </c>
      <c r="H20" s="63">
        <v>1</v>
      </c>
      <c r="I20" s="63"/>
      <c r="J20" s="63">
        <v>2</v>
      </c>
      <c r="K20" s="63"/>
      <c r="L20" s="63"/>
      <c r="M20" s="63"/>
      <c r="N20" s="63"/>
      <c r="O20" s="64" t="s">
        <v>754</v>
      </c>
      <c r="P20" s="56"/>
      <c r="Q20" s="57"/>
      <c r="R20" s="58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 spans="1:28" ht="14.4" x14ac:dyDescent="0.3">
      <c r="A21" s="50"/>
      <c r="B21" s="61">
        <v>43484</v>
      </c>
      <c r="C21" s="62" t="s">
        <v>89</v>
      </c>
      <c r="D21" s="62" t="s">
        <v>90</v>
      </c>
      <c r="E21" s="53">
        <f>SUM(F21:N21)</f>
        <v>1</v>
      </c>
      <c r="F21" s="63"/>
      <c r="G21" s="63"/>
      <c r="H21" s="63"/>
      <c r="I21" s="63"/>
      <c r="J21" s="63">
        <v>1</v>
      </c>
      <c r="K21" s="63"/>
      <c r="L21" s="63"/>
      <c r="M21" s="63"/>
      <c r="N21" s="63"/>
      <c r="O21" s="64" t="s">
        <v>675</v>
      </c>
      <c r="P21" s="56"/>
      <c r="Q21" s="57"/>
      <c r="R21" s="58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 spans="1:28" ht="14.4" x14ac:dyDescent="0.3">
      <c r="A22" s="50"/>
      <c r="B22" s="61">
        <v>43484</v>
      </c>
      <c r="C22" s="62" t="s">
        <v>23</v>
      </c>
      <c r="D22" s="62" t="s">
        <v>24</v>
      </c>
      <c r="E22" s="53">
        <f>SUM(F22:N22)</f>
        <v>2</v>
      </c>
      <c r="F22" s="63"/>
      <c r="G22" s="63"/>
      <c r="H22" s="63"/>
      <c r="I22" s="63">
        <v>1</v>
      </c>
      <c r="J22" s="63">
        <v>1</v>
      </c>
      <c r="K22" s="63"/>
      <c r="L22" s="63"/>
      <c r="M22" s="63"/>
      <c r="N22" s="63"/>
      <c r="O22" s="64" t="s">
        <v>858</v>
      </c>
      <c r="P22" s="56"/>
      <c r="Q22" s="57"/>
      <c r="R22" s="58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 spans="1:28" ht="14.4" x14ac:dyDescent="0.3">
      <c r="A23" s="50"/>
      <c r="B23" s="61">
        <v>43485</v>
      </c>
      <c r="C23" s="62" t="s">
        <v>35</v>
      </c>
      <c r="D23" s="62" t="s">
        <v>36</v>
      </c>
      <c r="E23" s="53">
        <f>SUM(F23:N23)</f>
        <v>2</v>
      </c>
      <c r="F23" s="63"/>
      <c r="G23" s="63"/>
      <c r="H23" s="63"/>
      <c r="I23" s="63"/>
      <c r="J23" s="63">
        <v>1</v>
      </c>
      <c r="K23" s="63"/>
      <c r="L23" s="63"/>
      <c r="M23" s="63"/>
      <c r="N23" s="63">
        <v>1</v>
      </c>
      <c r="O23" s="64" t="s">
        <v>224</v>
      </c>
      <c r="P23" s="56"/>
      <c r="Q23" s="68" t="s">
        <v>906</v>
      </c>
      <c r="R23" s="58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 spans="1:28" ht="14.4" x14ac:dyDescent="0.3">
      <c r="A24" s="50"/>
      <c r="B24" s="61">
        <v>43485</v>
      </c>
      <c r="C24" s="62" t="s">
        <v>59</v>
      </c>
      <c r="D24" s="62" t="s">
        <v>60</v>
      </c>
      <c r="E24" s="53">
        <f>SUM(F24:N24)</f>
        <v>2</v>
      </c>
      <c r="F24" s="63"/>
      <c r="G24" s="63"/>
      <c r="H24" s="63"/>
      <c r="I24" s="63"/>
      <c r="J24" s="63">
        <v>1</v>
      </c>
      <c r="K24" s="63"/>
      <c r="L24" s="63"/>
      <c r="M24" s="63"/>
      <c r="N24" s="63">
        <v>1</v>
      </c>
      <c r="O24" s="64" t="s">
        <v>224</v>
      </c>
      <c r="P24" s="56"/>
      <c r="Q24" s="57"/>
      <c r="R24" s="58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 spans="1:28" ht="14.4" x14ac:dyDescent="0.3">
      <c r="A25" s="50"/>
      <c r="B25" s="61">
        <v>43485</v>
      </c>
      <c r="C25" s="62" t="s">
        <v>17</v>
      </c>
      <c r="D25" s="52" t="s">
        <v>18</v>
      </c>
      <c r="E25" s="53">
        <f>SUM(F25:N25)</f>
        <v>1</v>
      </c>
      <c r="F25" s="63"/>
      <c r="G25" s="63"/>
      <c r="H25" s="63"/>
      <c r="I25" s="63"/>
      <c r="J25" s="63">
        <v>1</v>
      </c>
      <c r="K25" s="63"/>
      <c r="L25" s="63"/>
      <c r="M25" s="63"/>
      <c r="N25" s="63"/>
      <c r="O25" s="64" t="s">
        <v>250</v>
      </c>
      <c r="P25" s="56"/>
      <c r="Q25" s="57"/>
      <c r="R25" s="58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 spans="1:28" ht="14.4" x14ac:dyDescent="0.3">
      <c r="A26" s="50"/>
      <c r="B26" s="61">
        <v>43485</v>
      </c>
      <c r="C26" s="62" t="s">
        <v>26</v>
      </c>
      <c r="D26" s="62" t="s">
        <v>27</v>
      </c>
      <c r="E26" s="53">
        <f>SUM(F26:N26)</f>
        <v>1</v>
      </c>
      <c r="F26" s="63"/>
      <c r="G26" s="63"/>
      <c r="H26" s="63"/>
      <c r="I26" s="63"/>
      <c r="J26" s="63">
        <v>1</v>
      </c>
      <c r="K26" s="63"/>
      <c r="L26" s="63"/>
      <c r="M26" s="63"/>
      <c r="N26" s="63"/>
      <c r="O26" s="64" t="s">
        <v>518</v>
      </c>
      <c r="P26" s="56"/>
      <c r="Q26" s="57"/>
      <c r="R26" s="58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spans="1:28" ht="14.4" x14ac:dyDescent="0.3">
      <c r="A27" s="50"/>
      <c r="B27" s="61">
        <v>43485</v>
      </c>
      <c r="C27" s="62" t="s">
        <v>38</v>
      </c>
      <c r="D27" s="62" t="s">
        <v>39</v>
      </c>
      <c r="E27" s="53">
        <f>SUM(F27:N27)</f>
        <v>3</v>
      </c>
      <c r="F27" s="63"/>
      <c r="G27" s="63"/>
      <c r="H27" s="63"/>
      <c r="I27" s="63"/>
      <c r="J27" s="63">
        <v>2</v>
      </c>
      <c r="K27" s="63"/>
      <c r="L27" s="63">
        <v>1</v>
      </c>
      <c r="M27" s="63"/>
      <c r="N27" s="63"/>
      <c r="O27" s="64" t="s">
        <v>489</v>
      </c>
      <c r="P27" s="56"/>
      <c r="Q27" s="57"/>
      <c r="R27" s="58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spans="1:28" ht="14.4" x14ac:dyDescent="0.3">
      <c r="A28" s="50"/>
      <c r="B28" s="61">
        <v>43486</v>
      </c>
      <c r="C28" s="62" t="s">
        <v>38</v>
      </c>
      <c r="D28" s="62" t="s">
        <v>39</v>
      </c>
      <c r="E28" s="53">
        <f>SUM(F28:N28)</f>
        <v>1</v>
      </c>
      <c r="F28" s="63"/>
      <c r="G28" s="63"/>
      <c r="H28" s="63"/>
      <c r="I28" s="63"/>
      <c r="J28" s="63">
        <v>1</v>
      </c>
      <c r="K28" s="63"/>
      <c r="L28" s="63"/>
      <c r="M28" s="63"/>
      <c r="N28" s="63"/>
      <c r="O28" s="64" t="s">
        <v>490</v>
      </c>
      <c r="P28" s="56"/>
      <c r="Q28" s="57"/>
      <c r="R28" s="58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spans="1:28" ht="14.4" x14ac:dyDescent="0.3">
      <c r="A29" s="50"/>
      <c r="B29" s="61">
        <v>43487</v>
      </c>
      <c r="C29" s="62" t="s">
        <v>14</v>
      </c>
      <c r="D29" s="62" t="s">
        <v>15</v>
      </c>
      <c r="E29" s="53">
        <f>SUM(F29:N29)</f>
        <v>2</v>
      </c>
      <c r="F29" s="63"/>
      <c r="G29" s="63"/>
      <c r="H29" s="63">
        <v>1</v>
      </c>
      <c r="I29" s="63"/>
      <c r="J29" s="63">
        <v>1</v>
      </c>
      <c r="K29" s="63"/>
      <c r="L29" s="63"/>
      <c r="M29" s="63"/>
      <c r="N29" s="63"/>
      <c r="O29" s="64" t="s">
        <v>801</v>
      </c>
      <c r="P29" s="56"/>
      <c r="Q29" s="57"/>
      <c r="R29" s="58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spans="1:28" ht="14.4" x14ac:dyDescent="0.3">
      <c r="A30" s="50"/>
      <c r="B30" s="61">
        <v>43488</v>
      </c>
      <c r="C30" s="62" t="s">
        <v>26</v>
      </c>
      <c r="D30" s="62" t="s">
        <v>27</v>
      </c>
      <c r="E30" s="53">
        <f>SUM(F30:N30)</f>
        <v>2</v>
      </c>
      <c r="F30" s="63"/>
      <c r="G30" s="63"/>
      <c r="H30" s="63">
        <v>1</v>
      </c>
      <c r="I30" s="63">
        <v>1</v>
      </c>
      <c r="J30" s="63"/>
      <c r="K30" s="63"/>
      <c r="L30" s="63"/>
      <c r="M30" s="63"/>
      <c r="N30" s="63"/>
      <c r="O30" s="64" t="s">
        <v>519</v>
      </c>
      <c r="P30" s="56"/>
      <c r="Q30" s="57"/>
      <c r="R30" s="58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spans="1:28" ht="14.4" x14ac:dyDescent="0.3">
      <c r="A31" s="50"/>
      <c r="B31" s="61">
        <v>43489</v>
      </c>
      <c r="C31" s="62" t="s">
        <v>14</v>
      </c>
      <c r="D31" s="62" t="s">
        <v>15</v>
      </c>
      <c r="E31" s="53">
        <f>SUM(F31:N31)</f>
        <v>1</v>
      </c>
      <c r="F31" s="63"/>
      <c r="G31" s="63"/>
      <c r="H31" s="63"/>
      <c r="I31" s="63"/>
      <c r="J31" s="63"/>
      <c r="K31" s="63">
        <v>1</v>
      </c>
      <c r="L31" s="63"/>
      <c r="M31" s="63"/>
      <c r="N31" s="63"/>
      <c r="O31" s="64" t="s">
        <v>802</v>
      </c>
      <c r="P31" s="56"/>
      <c r="Q31" s="57"/>
      <c r="R31" s="58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spans="1:28" ht="14.4" x14ac:dyDescent="0.3">
      <c r="A32" s="50"/>
      <c r="B32" s="61">
        <v>43489</v>
      </c>
      <c r="C32" s="62" t="s">
        <v>23</v>
      </c>
      <c r="D32" s="62" t="s">
        <v>24</v>
      </c>
      <c r="E32" s="53">
        <f>SUM(F32:N32)</f>
        <v>1</v>
      </c>
      <c r="F32" s="63"/>
      <c r="G32" s="63"/>
      <c r="H32" s="63"/>
      <c r="I32" s="63"/>
      <c r="J32" s="63"/>
      <c r="K32" s="63">
        <v>1</v>
      </c>
      <c r="L32" s="63"/>
      <c r="M32" s="63"/>
      <c r="N32" s="63"/>
      <c r="O32" s="64" t="s">
        <v>593</v>
      </c>
      <c r="P32" s="56"/>
      <c r="Q32" s="57"/>
      <c r="R32" s="58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spans="1:28" ht="14.4" x14ac:dyDescent="0.3">
      <c r="A33" s="50"/>
      <c r="B33" s="61">
        <v>43490</v>
      </c>
      <c r="C33" s="62" t="s">
        <v>59</v>
      </c>
      <c r="D33" s="62" t="s">
        <v>60</v>
      </c>
      <c r="E33" s="53">
        <f>SUM(F33:N33)</f>
        <v>2</v>
      </c>
      <c r="F33" s="63"/>
      <c r="G33" s="63"/>
      <c r="H33" s="63"/>
      <c r="I33" s="63"/>
      <c r="J33" s="63">
        <v>1</v>
      </c>
      <c r="K33" s="63">
        <v>1</v>
      </c>
      <c r="L33" s="63"/>
      <c r="M33" s="63"/>
      <c r="N33" s="63"/>
      <c r="O33" s="64" t="s">
        <v>225</v>
      </c>
      <c r="P33" s="56"/>
      <c r="Q33" s="57"/>
      <c r="R33" s="58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spans="1:28" ht="14.4" x14ac:dyDescent="0.3">
      <c r="A34" s="50"/>
      <c r="B34" s="61">
        <v>43490</v>
      </c>
      <c r="C34" s="62" t="s">
        <v>14</v>
      </c>
      <c r="D34" s="62" t="s">
        <v>15</v>
      </c>
      <c r="E34" s="53">
        <f>SUM(F34:N34)</f>
        <v>3</v>
      </c>
      <c r="F34" s="63"/>
      <c r="G34" s="63"/>
      <c r="H34" s="63"/>
      <c r="I34" s="63"/>
      <c r="J34" s="63">
        <v>1</v>
      </c>
      <c r="K34" s="63">
        <v>2</v>
      </c>
      <c r="L34" s="63"/>
      <c r="M34" s="63"/>
      <c r="N34" s="63"/>
      <c r="O34" s="64" t="s">
        <v>803</v>
      </c>
      <c r="P34" s="56"/>
      <c r="Q34" s="57"/>
      <c r="R34" s="58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spans="1:28" ht="14.4" x14ac:dyDescent="0.3">
      <c r="A35" s="50"/>
      <c r="B35" s="61">
        <v>43491</v>
      </c>
      <c r="C35" s="62" t="s">
        <v>17</v>
      </c>
      <c r="D35" s="52" t="s">
        <v>18</v>
      </c>
      <c r="E35" s="53">
        <f>SUM(F35:N35)</f>
        <v>4</v>
      </c>
      <c r="F35" s="63"/>
      <c r="G35" s="63">
        <v>3</v>
      </c>
      <c r="H35" s="63"/>
      <c r="I35" s="63"/>
      <c r="J35" s="63">
        <v>1</v>
      </c>
      <c r="K35" s="63"/>
      <c r="L35" s="63"/>
      <c r="M35" s="63"/>
      <c r="N35" s="63"/>
      <c r="O35" s="64" t="s">
        <v>251</v>
      </c>
      <c r="P35" s="56"/>
      <c r="Q35" s="68" t="s">
        <v>907</v>
      </c>
      <c r="R35" s="58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spans="1:28" ht="14.4" x14ac:dyDescent="0.3">
      <c r="A36" s="50"/>
      <c r="B36" s="61">
        <v>43491</v>
      </c>
      <c r="C36" s="62" t="s">
        <v>50</v>
      </c>
      <c r="D36" s="62" t="s">
        <v>51</v>
      </c>
      <c r="E36" s="53">
        <f>SUM(F36:N36)</f>
        <v>1</v>
      </c>
      <c r="F36" s="63"/>
      <c r="G36" s="63"/>
      <c r="H36" s="63">
        <v>1</v>
      </c>
      <c r="I36" s="63"/>
      <c r="J36" s="63"/>
      <c r="K36" s="63"/>
      <c r="L36" s="63"/>
      <c r="M36" s="63"/>
      <c r="N36" s="63"/>
      <c r="O36" s="64" t="s">
        <v>755</v>
      </c>
      <c r="P36" s="56"/>
      <c r="Q36" s="57"/>
      <c r="R36" s="58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 spans="1:28" ht="14.4" x14ac:dyDescent="0.3">
      <c r="A37" s="50"/>
      <c r="B37" s="61">
        <v>43491</v>
      </c>
      <c r="C37" s="62" t="s">
        <v>124</v>
      </c>
      <c r="D37" s="62" t="s">
        <v>125</v>
      </c>
      <c r="E37" s="53">
        <f>SUM(F37:N37)</f>
        <v>2</v>
      </c>
      <c r="F37" s="63"/>
      <c r="G37" s="63"/>
      <c r="H37" s="63"/>
      <c r="I37" s="63"/>
      <c r="J37" s="63">
        <v>1</v>
      </c>
      <c r="K37" s="63">
        <v>1</v>
      </c>
      <c r="L37" s="63"/>
      <c r="M37" s="63"/>
      <c r="N37" s="63"/>
      <c r="O37" s="64" t="s">
        <v>185</v>
      </c>
      <c r="P37" s="56"/>
      <c r="Q37" s="57"/>
      <c r="R37" s="58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 spans="1:28" ht="14.4" x14ac:dyDescent="0.3">
      <c r="A38" s="50"/>
      <c r="B38" s="61">
        <v>43491</v>
      </c>
      <c r="C38" s="62" t="s">
        <v>35</v>
      </c>
      <c r="D38" s="62" t="s">
        <v>36</v>
      </c>
      <c r="E38" s="53">
        <f>SUM(F38:N38)</f>
        <v>1</v>
      </c>
      <c r="F38" s="63"/>
      <c r="G38" s="63"/>
      <c r="H38" s="63"/>
      <c r="I38" s="63"/>
      <c r="J38" s="63">
        <v>1</v>
      </c>
      <c r="K38" s="63"/>
      <c r="L38" s="63"/>
      <c r="M38" s="63"/>
      <c r="N38" s="63"/>
      <c r="O38" s="64" t="s">
        <v>468</v>
      </c>
      <c r="P38" s="56"/>
      <c r="Q38" s="57"/>
      <c r="R38" s="58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 spans="1:28" ht="14.4" x14ac:dyDescent="0.3">
      <c r="A39" s="50"/>
      <c r="B39" s="61">
        <v>43491</v>
      </c>
      <c r="C39" s="62" t="s">
        <v>20</v>
      </c>
      <c r="D39" s="62" t="s">
        <v>21</v>
      </c>
      <c r="E39" s="53">
        <f>SUM(F39:N39)</f>
        <v>1</v>
      </c>
      <c r="F39" s="63"/>
      <c r="G39" s="63"/>
      <c r="H39" s="63"/>
      <c r="I39" s="63"/>
      <c r="J39" s="63">
        <v>1</v>
      </c>
      <c r="K39" s="63"/>
      <c r="L39" s="63"/>
      <c r="M39" s="63"/>
      <c r="N39" s="63"/>
      <c r="O39" s="64" t="s">
        <v>402</v>
      </c>
      <c r="P39" s="56"/>
      <c r="Q39" s="57"/>
      <c r="R39" s="58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 spans="1:28" ht="14.4" x14ac:dyDescent="0.3">
      <c r="A40" s="50"/>
      <c r="B40" s="61">
        <v>43491</v>
      </c>
      <c r="C40" s="62" t="s">
        <v>65</v>
      </c>
      <c r="D40" s="62" t="s">
        <v>66</v>
      </c>
      <c r="E40" s="53">
        <f>SUM(F40:N40)</f>
        <v>1</v>
      </c>
      <c r="F40" s="63"/>
      <c r="G40" s="63"/>
      <c r="H40" s="63">
        <v>1</v>
      </c>
      <c r="I40" s="63"/>
      <c r="J40" s="63"/>
      <c r="K40" s="63"/>
      <c r="L40" s="63"/>
      <c r="M40" s="63"/>
      <c r="N40" s="63"/>
      <c r="O40" s="64" t="s">
        <v>755</v>
      </c>
      <c r="P40" s="56"/>
      <c r="Q40" s="57"/>
      <c r="R40" s="58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 spans="1:28" ht="14.4" x14ac:dyDescent="0.3">
      <c r="A41" s="50"/>
      <c r="B41" s="61">
        <v>43491</v>
      </c>
      <c r="C41" s="62" t="s">
        <v>38</v>
      </c>
      <c r="D41" s="62" t="s">
        <v>39</v>
      </c>
      <c r="E41" s="53">
        <f>SUM(F41:N41)</f>
        <v>1</v>
      </c>
      <c r="F41" s="63"/>
      <c r="G41" s="63"/>
      <c r="H41" s="63"/>
      <c r="I41" s="63"/>
      <c r="J41" s="63">
        <v>1</v>
      </c>
      <c r="K41" s="63"/>
      <c r="L41" s="63"/>
      <c r="M41" s="63"/>
      <c r="N41" s="63"/>
      <c r="O41" s="64" t="s">
        <v>491</v>
      </c>
      <c r="P41" s="56"/>
      <c r="Q41" s="57"/>
      <c r="R41" s="58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 spans="1:28" ht="14.4" x14ac:dyDescent="0.3">
      <c r="A42" s="50"/>
      <c r="B42" s="61">
        <v>43491</v>
      </c>
      <c r="C42" s="62" t="s">
        <v>23</v>
      </c>
      <c r="D42" s="62" t="s">
        <v>24</v>
      </c>
      <c r="E42" s="53">
        <f>SUM(F42:N42)</f>
        <v>1</v>
      </c>
      <c r="F42" s="63"/>
      <c r="G42" s="63"/>
      <c r="H42" s="63"/>
      <c r="I42" s="63"/>
      <c r="J42" s="63">
        <v>1</v>
      </c>
      <c r="K42" s="63"/>
      <c r="L42" s="63"/>
      <c r="M42" s="63"/>
      <c r="N42" s="63"/>
      <c r="O42" s="64" t="s">
        <v>355</v>
      </c>
      <c r="P42" s="56"/>
      <c r="Q42" s="57"/>
      <c r="R42" s="58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 spans="1:28" ht="14.4" x14ac:dyDescent="0.3">
      <c r="A43" s="50"/>
      <c r="B43" s="61">
        <v>43492</v>
      </c>
      <c r="C43" s="62" t="s">
        <v>26</v>
      </c>
      <c r="D43" s="62" t="s">
        <v>27</v>
      </c>
      <c r="E43" s="53">
        <f>SUM(F43:N43)</f>
        <v>2</v>
      </c>
      <c r="F43" s="63"/>
      <c r="G43" s="63"/>
      <c r="H43" s="63">
        <v>1</v>
      </c>
      <c r="I43" s="63"/>
      <c r="J43" s="63">
        <v>1</v>
      </c>
      <c r="K43" s="63"/>
      <c r="L43" s="63"/>
      <c r="M43" s="63"/>
      <c r="N43" s="63"/>
      <c r="O43" s="64" t="s">
        <v>520</v>
      </c>
      <c r="P43" s="56"/>
      <c r="Q43" s="57"/>
      <c r="R43" s="58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spans="1:28" ht="14.4" x14ac:dyDescent="0.3">
      <c r="A44" s="50"/>
      <c r="B44" s="61">
        <v>43492</v>
      </c>
      <c r="C44" s="62" t="s">
        <v>130</v>
      </c>
      <c r="D44" s="62" t="s">
        <v>131</v>
      </c>
      <c r="E44" s="53">
        <f>SUM(F44:N44)</f>
        <v>2</v>
      </c>
      <c r="F44" s="63"/>
      <c r="G44" s="63"/>
      <c r="H44" s="63"/>
      <c r="I44" s="63">
        <v>1</v>
      </c>
      <c r="J44" s="63">
        <v>1</v>
      </c>
      <c r="K44" s="63"/>
      <c r="L44" s="63"/>
      <c r="M44" s="63"/>
      <c r="N44" s="63"/>
      <c r="O44" s="64" t="s">
        <v>183</v>
      </c>
      <c r="P44" s="56"/>
      <c r="Q44" s="57"/>
      <c r="R44" s="58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 spans="1:28" ht="14.4" x14ac:dyDescent="0.3">
      <c r="A45" s="50"/>
      <c r="B45" s="61">
        <v>43492</v>
      </c>
      <c r="C45" s="62" t="s">
        <v>59</v>
      </c>
      <c r="D45" s="62" t="s">
        <v>60</v>
      </c>
      <c r="E45" s="53">
        <f>SUM(F45:N45)</f>
        <v>2</v>
      </c>
      <c r="F45" s="63"/>
      <c r="G45" s="63"/>
      <c r="H45" s="63"/>
      <c r="I45" s="63"/>
      <c r="J45" s="63">
        <v>1</v>
      </c>
      <c r="K45" s="63">
        <v>1</v>
      </c>
      <c r="L45" s="63"/>
      <c r="M45" s="63"/>
      <c r="N45" s="63"/>
      <c r="O45" s="64" t="s">
        <v>226</v>
      </c>
      <c r="P45" s="56"/>
      <c r="Q45" s="68" t="s">
        <v>908</v>
      </c>
      <c r="R45" s="58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 spans="1:28" ht="14.4" x14ac:dyDescent="0.3">
      <c r="A46" s="50"/>
      <c r="B46" s="61">
        <v>43492</v>
      </c>
      <c r="C46" s="62" t="s">
        <v>44</v>
      </c>
      <c r="D46" s="62" t="s">
        <v>45</v>
      </c>
      <c r="E46" s="53">
        <f>SUM(F46:N46)</f>
        <v>1</v>
      </c>
      <c r="F46" s="63"/>
      <c r="G46" s="63"/>
      <c r="H46" s="63"/>
      <c r="I46" s="63"/>
      <c r="J46" s="63">
        <v>1</v>
      </c>
      <c r="K46" s="63"/>
      <c r="L46" s="63"/>
      <c r="M46" s="63"/>
      <c r="N46" s="63"/>
      <c r="O46" s="64" t="s">
        <v>373</v>
      </c>
      <c r="P46" s="56"/>
      <c r="Q46" s="57"/>
      <c r="R46" s="58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 spans="1:28" ht="14.4" x14ac:dyDescent="0.3">
      <c r="A47" s="50"/>
      <c r="B47" s="61">
        <v>43492</v>
      </c>
      <c r="C47" s="62" t="s">
        <v>14</v>
      </c>
      <c r="D47" s="62" t="s">
        <v>15</v>
      </c>
      <c r="E47" s="53">
        <f>SUM(F47:N47)</f>
        <v>2</v>
      </c>
      <c r="F47" s="63"/>
      <c r="G47" s="63"/>
      <c r="H47" s="63"/>
      <c r="I47" s="63">
        <v>1</v>
      </c>
      <c r="J47" s="63">
        <v>1</v>
      </c>
      <c r="K47" s="63"/>
      <c r="L47" s="63"/>
      <c r="M47" s="63"/>
      <c r="N47" s="63"/>
      <c r="O47" s="64" t="s">
        <v>804</v>
      </c>
      <c r="P47" s="56"/>
      <c r="Q47" s="57"/>
      <c r="R47" s="58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 spans="1:28" ht="14.4" x14ac:dyDescent="0.3">
      <c r="A48" s="50"/>
      <c r="B48" s="61">
        <v>43492</v>
      </c>
      <c r="C48" s="62" t="s">
        <v>38</v>
      </c>
      <c r="D48" s="62" t="s">
        <v>39</v>
      </c>
      <c r="E48" s="53">
        <f>SUM(F48:N48)</f>
        <v>1</v>
      </c>
      <c r="F48" s="63"/>
      <c r="G48" s="63"/>
      <c r="H48" s="63"/>
      <c r="I48" s="63"/>
      <c r="J48" s="63">
        <v>1</v>
      </c>
      <c r="K48" s="63"/>
      <c r="L48" s="63"/>
      <c r="M48" s="63"/>
      <c r="N48" s="63"/>
      <c r="O48" s="64" t="s">
        <v>492</v>
      </c>
      <c r="P48" s="56"/>
      <c r="Q48" s="57"/>
      <c r="R48" s="58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 spans="1:28" ht="14.4" x14ac:dyDescent="0.3">
      <c r="A49" s="50"/>
      <c r="B49" s="61">
        <v>43492</v>
      </c>
      <c r="C49" s="62" t="s">
        <v>53</v>
      </c>
      <c r="D49" s="62" t="s">
        <v>54</v>
      </c>
      <c r="E49" s="53">
        <f>SUM(F49:N49)</f>
        <v>1</v>
      </c>
      <c r="F49" s="63"/>
      <c r="G49" s="63"/>
      <c r="H49" s="63"/>
      <c r="I49" s="63"/>
      <c r="J49" s="63">
        <v>1</v>
      </c>
      <c r="K49" s="63"/>
      <c r="L49" s="63"/>
      <c r="M49" s="63"/>
      <c r="N49" s="63"/>
      <c r="O49" s="64" t="s">
        <v>355</v>
      </c>
      <c r="P49" s="56"/>
      <c r="Q49" s="57"/>
      <c r="R49" s="58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 spans="1:28" ht="14.4" x14ac:dyDescent="0.3">
      <c r="A50" s="50"/>
      <c r="B50" s="61">
        <v>43492</v>
      </c>
      <c r="C50" s="62" t="s">
        <v>23</v>
      </c>
      <c r="D50" s="62" t="s">
        <v>24</v>
      </c>
      <c r="E50" s="53">
        <f>SUM(F50:N50)</f>
        <v>3</v>
      </c>
      <c r="F50" s="63"/>
      <c r="G50" s="63"/>
      <c r="H50" s="63">
        <v>1</v>
      </c>
      <c r="I50" s="63"/>
      <c r="J50" s="63">
        <v>1</v>
      </c>
      <c r="K50" s="63">
        <v>1</v>
      </c>
      <c r="L50" s="63"/>
      <c r="M50" s="63"/>
      <c r="N50" s="63"/>
      <c r="O50" s="64" t="s">
        <v>859</v>
      </c>
      <c r="P50" s="56"/>
      <c r="Q50" s="57"/>
      <c r="R50" s="58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 spans="1:28" ht="14.4" x14ac:dyDescent="0.3">
      <c r="A51" s="50"/>
      <c r="B51" s="61">
        <v>43493</v>
      </c>
      <c r="C51" s="62" t="s">
        <v>89</v>
      </c>
      <c r="D51" s="62" t="s">
        <v>90</v>
      </c>
      <c r="E51" s="53">
        <f>SUM(F51:N51)</f>
        <v>2</v>
      </c>
      <c r="F51" s="63"/>
      <c r="G51" s="63"/>
      <c r="H51" s="63"/>
      <c r="I51" s="63"/>
      <c r="J51" s="63"/>
      <c r="K51" s="63">
        <v>1</v>
      </c>
      <c r="L51" s="63"/>
      <c r="M51" s="63">
        <v>1</v>
      </c>
      <c r="N51" s="63"/>
      <c r="O51" s="64" t="s">
        <v>676</v>
      </c>
      <c r="P51" s="56"/>
      <c r="Q51" s="57"/>
      <c r="R51" s="58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 spans="1:28" ht="14.4" x14ac:dyDescent="0.3">
      <c r="A52" s="50"/>
      <c r="B52" s="61">
        <v>43494</v>
      </c>
      <c r="C52" s="62" t="s">
        <v>17</v>
      </c>
      <c r="D52" s="52" t="s">
        <v>18</v>
      </c>
      <c r="E52" s="53">
        <f>SUM(F52:N52)</f>
        <v>3</v>
      </c>
      <c r="F52" s="63"/>
      <c r="G52" s="63"/>
      <c r="H52" s="63">
        <v>1</v>
      </c>
      <c r="I52" s="63"/>
      <c r="J52" s="63">
        <v>2</v>
      </c>
      <c r="K52" s="63"/>
      <c r="L52" s="63"/>
      <c r="M52" s="63"/>
      <c r="N52" s="63"/>
      <c r="O52" s="64" t="s">
        <v>252</v>
      </c>
      <c r="P52" s="56"/>
      <c r="Q52" s="68" t="s">
        <v>909</v>
      </c>
      <c r="R52" s="58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 spans="1:28" ht="14.25" customHeight="1" x14ac:dyDescent="0.3">
      <c r="A53" s="50"/>
      <c r="B53" s="61">
        <v>43494</v>
      </c>
      <c r="C53" s="62" t="s">
        <v>14</v>
      </c>
      <c r="D53" s="62" t="s">
        <v>15</v>
      </c>
      <c r="E53" s="53">
        <f>SUM(F53:N53)</f>
        <v>3</v>
      </c>
      <c r="F53" s="63"/>
      <c r="G53" s="63"/>
      <c r="H53" s="63">
        <v>1</v>
      </c>
      <c r="I53" s="63"/>
      <c r="J53" s="63">
        <v>1</v>
      </c>
      <c r="K53" s="63">
        <v>1</v>
      </c>
      <c r="L53" s="63"/>
      <c r="M53" s="63"/>
      <c r="N53" s="63"/>
      <c r="O53" s="64" t="s">
        <v>805</v>
      </c>
      <c r="P53" s="56"/>
      <c r="Q53" s="57"/>
      <c r="R53" s="58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 spans="1:28" ht="15" customHeight="1" x14ac:dyDescent="0.3">
      <c r="A54" s="50"/>
      <c r="B54" s="61">
        <v>43495</v>
      </c>
      <c r="C54" s="62" t="s">
        <v>44</v>
      </c>
      <c r="D54" s="62" t="s">
        <v>45</v>
      </c>
      <c r="E54" s="53">
        <f>SUM(F54:N54)</f>
        <v>2</v>
      </c>
      <c r="F54" s="63"/>
      <c r="G54" s="63"/>
      <c r="H54" s="63"/>
      <c r="I54" s="63"/>
      <c r="J54" s="63">
        <v>2</v>
      </c>
      <c r="K54" s="63"/>
      <c r="L54" s="63"/>
      <c r="M54" s="63"/>
      <c r="N54" s="63"/>
      <c r="O54" s="64" t="s">
        <v>374</v>
      </c>
      <c r="P54" s="56"/>
      <c r="Q54" s="57"/>
      <c r="R54" s="58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 spans="1:28" ht="14.4" x14ac:dyDescent="0.3">
      <c r="A55" s="50"/>
      <c r="B55" s="61">
        <v>43496</v>
      </c>
      <c r="C55" s="62" t="s">
        <v>14</v>
      </c>
      <c r="D55" s="62" t="s">
        <v>15</v>
      </c>
      <c r="E55" s="53">
        <f>SUM(F55:N55)</f>
        <v>1</v>
      </c>
      <c r="F55" s="63"/>
      <c r="G55" s="63"/>
      <c r="H55" s="63"/>
      <c r="I55" s="63"/>
      <c r="J55" s="63">
        <v>1</v>
      </c>
      <c r="K55" s="63"/>
      <c r="L55" s="63"/>
      <c r="M55" s="63"/>
      <c r="N55" s="63"/>
      <c r="O55" s="64" t="s">
        <v>806</v>
      </c>
      <c r="P55" s="56"/>
      <c r="Q55" s="57"/>
      <c r="R55" s="58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 spans="1:28" ht="14.4" x14ac:dyDescent="0.3">
      <c r="A56" s="50"/>
      <c r="B56" s="61">
        <v>43497</v>
      </c>
      <c r="C56" s="62" t="s">
        <v>17</v>
      </c>
      <c r="D56" s="52" t="s">
        <v>18</v>
      </c>
      <c r="E56" s="53">
        <f>SUM(F56:N56)</f>
        <v>2</v>
      </c>
      <c r="F56" s="63"/>
      <c r="G56" s="63"/>
      <c r="H56" s="63"/>
      <c r="I56" s="63"/>
      <c r="J56" s="63">
        <v>1</v>
      </c>
      <c r="K56" s="63">
        <v>1</v>
      </c>
      <c r="L56" s="63"/>
      <c r="M56" s="63"/>
      <c r="N56" s="63"/>
      <c r="O56" s="64" t="s">
        <v>253</v>
      </c>
      <c r="P56" s="56"/>
      <c r="Q56" s="68" t="s">
        <v>910</v>
      </c>
      <c r="R56" s="58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 spans="1:28" ht="14.4" x14ac:dyDescent="0.3">
      <c r="A57" s="50"/>
      <c r="B57" s="61">
        <v>43497</v>
      </c>
      <c r="C57" s="62" t="s">
        <v>14</v>
      </c>
      <c r="D57" s="62" t="s">
        <v>15</v>
      </c>
      <c r="E57" s="53">
        <f>SUM(F57:N57)</f>
        <v>3</v>
      </c>
      <c r="F57" s="63"/>
      <c r="G57" s="63"/>
      <c r="H57" s="63"/>
      <c r="I57" s="63"/>
      <c r="J57" s="63">
        <v>3</v>
      </c>
      <c r="K57" s="63"/>
      <c r="L57" s="63"/>
      <c r="M57" s="63"/>
      <c r="N57" s="63"/>
      <c r="O57" s="64" t="s">
        <v>807</v>
      </c>
      <c r="P57" s="56"/>
      <c r="Q57" s="57"/>
      <c r="R57" s="58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 spans="1:28" ht="14.4" x14ac:dyDescent="0.3">
      <c r="A58" s="50"/>
      <c r="B58" s="61">
        <v>43497</v>
      </c>
      <c r="C58" s="62" t="s">
        <v>86</v>
      </c>
      <c r="D58" s="62" t="s">
        <v>87</v>
      </c>
      <c r="E58" s="53">
        <f>SUM(F58:N58)</f>
        <v>1</v>
      </c>
      <c r="F58" s="63"/>
      <c r="G58" s="63"/>
      <c r="H58" s="63"/>
      <c r="I58" s="63">
        <v>1</v>
      </c>
      <c r="J58" s="63"/>
      <c r="K58" s="63"/>
      <c r="L58" s="63"/>
      <c r="M58" s="63"/>
      <c r="N58" s="63"/>
      <c r="O58" s="64" t="s">
        <v>793</v>
      </c>
      <c r="P58" s="56"/>
      <c r="Q58" s="57"/>
      <c r="R58" s="58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 spans="1:28" ht="14.4" x14ac:dyDescent="0.3">
      <c r="A59" s="50"/>
      <c r="B59" s="61">
        <v>43498</v>
      </c>
      <c r="C59" s="62" t="s">
        <v>59</v>
      </c>
      <c r="D59" s="62" t="s">
        <v>60</v>
      </c>
      <c r="E59" s="53">
        <f>SUM(F59:N59)</f>
        <v>1</v>
      </c>
      <c r="F59" s="63"/>
      <c r="G59" s="63"/>
      <c r="H59" s="63"/>
      <c r="I59" s="63"/>
      <c r="J59" s="63">
        <v>1</v>
      </c>
      <c r="K59" s="63"/>
      <c r="L59" s="63"/>
      <c r="M59" s="63"/>
      <c r="N59" s="63"/>
      <c r="O59" s="64" t="s">
        <v>227</v>
      </c>
      <c r="P59" s="56"/>
      <c r="Q59" s="57"/>
      <c r="R59" s="58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 spans="1:28" ht="14.4" x14ac:dyDescent="0.3">
      <c r="A60" s="50"/>
      <c r="B60" s="61">
        <v>43498</v>
      </c>
      <c r="C60" s="62" t="s">
        <v>17</v>
      </c>
      <c r="D60" s="52" t="s">
        <v>18</v>
      </c>
      <c r="E60" s="53">
        <f>SUM(F60:N60)</f>
        <v>3</v>
      </c>
      <c r="F60" s="63"/>
      <c r="G60" s="63">
        <v>1</v>
      </c>
      <c r="H60" s="63"/>
      <c r="I60" s="63"/>
      <c r="J60" s="63">
        <v>2</v>
      </c>
      <c r="K60" s="63"/>
      <c r="L60" s="63"/>
      <c r="M60" s="63"/>
      <c r="N60" s="63"/>
      <c r="O60" s="64" t="s">
        <v>254</v>
      </c>
      <c r="P60" s="56"/>
      <c r="Q60" s="68" t="s">
        <v>911</v>
      </c>
      <c r="R60" s="58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 spans="1:28" ht="14.4" x14ac:dyDescent="0.3">
      <c r="A61" s="50"/>
      <c r="B61" s="61">
        <v>43498</v>
      </c>
      <c r="C61" s="62" t="s">
        <v>50</v>
      </c>
      <c r="D61" s="62" t="s">
        <v>51</v>
      </c>
      <c r="E61" s="53">
        <f>SUM(F61:N61)</f>
        <v>2</v>
      </c>
      <c r="F61" s="63"/>
      <c r="G61" s="63"/>
      <c r="H61" s="63"/>
      <c r="I61" s="63"/>
      <c r="J61" s="63">
        <v>2</v>
      </c>
      <c r="K61" s="63"/>
      <c r="L61" s="63"/>
      <c r="M61" s="63"/>
      <c r="N61" s="63"/>
      <c r="O61" s="64" t="s">
        <v>756</v>
      </c>
      <c r="P61" s="56"/>
      <c r="Q61" s="57"/>
      <c r="R61" s="58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 spans="1:28" ht="14.4" x14ac:dyDescent="0.3">
      <c r="A62" s="50"/>
      <c r="B62" s="61">
        <v>43498</v>
      </c>
      <c r="C62" s="62" t="s">
        <v>38</v>
      </c>
      <c r="D62" s="62" t="s">
        <v>39</v>
      </c>
      <c r="E62" s="53">
        <f>SUM(F62:N62)</f>
        <v>1</v>
      </c>
      <c r="F62" s="63"/>
      <c r="G62" s="63"/>
      <c r="H62" s="63"/>
      <c r="I62" s="63"/>
      <c r="J62" s="63">
        <v>1</v>
      </c>
      <c r="K62" s="63"/>
      <c r="L62" s="63"/>
      <c r="M62" s="63"/>
      <c r="N62" s="63"/>
      <c r="O62" s="64" t="s">
        <v>250</v>
      </c>
      <c r="P62" s="56"/>
      <c r="Q62" s="57"/>
      <c r="R62" s="58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 spans="1:28" ht="14.4" x14ac:dyDescent="0.3">
      <c r="A63" s="50"/>
      <c r="B63" s="61">
        <v>43498</v>
      </c>
      <c r="C63" s="62" t="s">
        <v>23</v>
      </c>
      <c r="D63" s="62" t="s">
        <v>24</v>
      </c>
      <c r="E63" s="53">
        <f>SUM(F63:N63)</f>
        <v>1</v>
      </c>
      <c r="F63" s="63"/>
      <c r="G63" s="63"/>
      <c r="H63" s="63"/>
      <c r="I63" s="63"/>
      <c r="J63" s="63"/>
      <c r="K63" s="63"/>
      <c r="L63" s="63">
        <v>1</v>
      </c>
      <c r="M63" s="63"/>
      <c r="N63" s="63"/>
      <c r="O63" s="64" t="s">
        <v>860</v>
      </c>
      <c r="P63" s="56"/>
      <c r="Q63" s="57"/>
      <c r="R63" s="58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 spans="1:28" ht="14.4" x14ac:dyDescent="0.3">
      <c r="A64" s="50"/>
      <c r="B64" s="61">
        <v>43499</v>
      </c>
      <c r="C64" s="62" t="s">
        <v>20</v>
      </c>
      <c r="D64" s="62" t="s">
        <v>21</v>
      </c>
      <c r="E64" s="53">
        <f>SUM(F64:N64)</f>
        <v>1</v>
      </c>
      <c r="F64" s="63"/>
      <c r="G64" s="63"/>
      <c r="H64" s="63"/>
      <c r="I64" s="63"/>
      <c r="J64" s="63">
        <v>1</v>
      </c>
      <c r="K64" s="63"/>
      <c r="L64" s="63"/>
      <c r="M64" s="63"/>
      <c r="N64" s="63"/>
      <c r="O64" s="64" t="s">
        <v>403</v>
      </c>
      <c r="P64" s="56"/>
      <c r="Q64" s="57"/>
      <c r="R64" s="58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 spans="1:28" ht="14.4" x14ac:dyDescent="0.3">
      <c r="A65" s="50"/>
      <c r="B65" s="61">
        <v>43499</v>
      </c>
      <c r="C65" s="62" t="s">
        <v>65</v>
      </c>
      <c r="D65" s="62" t="s">
        <v>66</v>
      </c>
      <c r="E65" s="53">
        <f>SUM(F65:N65)</f>
        <v>1</v>
      </c>
      <c r="F65" s="63"/>
      <c r="G65" s="63"/>
      <c r="H65" s="63"/>
      <c r="I65" s="63"/>
      <c r="J65" s="63">
        <v>1</v>
      </c>
      <c r="K65" s="63"/>
      <c r="L65" s="63"/>
      <c r="M65" s="63"/>
      <c r="N65" s="63"/>
      <c r="O65" s="64" t="s">
        <v>771</v>
      </c>
      <c r="P65" s="56"/>
      <c r="Q65" s="57"/>
      <c r="R65" s="58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 spans="1:28" ht="14.4" x14ac:dyDescent="0.3">
      <c r="A66" s="50"/>
      <c r="B66" s="61">
        <v>43500</v>
      </c>
      <c r="C66" s="62" t="s">
        <v>17</v>
      </c>
      <c r="D66" s="52" t="s">
        <v>18</v>
      </c>
      <c r="E66" s="53">
        <f>SUM(F66:N66)</f>
        <v>1</v>
      </c>
      <c r="F66" s="63"/>
      <c r="G66" s="63"/>
      <c r="H66" s="63"/>
      <c r="I66" s="63"/>
      <c r="J66" s="63">
        <v>1</v>
      </c>
      <c r="K66" s="63"/>
      <c r="L66" s="63"/>
      <c r="M66" s="63"/>
      <c r="N66" s="63"/>
      <c r="O66" s="64" t="s">
        <v>255</v>
      </c>
      <c r="P66" s="56"/>
      <c r="Q66" s="68" t="s">
        <v>912</v>
      </c>
      <c r="R66" s="58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 spans="1:28" ht="14.4" x14ac:dyDescent="0.3">
      <c r="A67" s="50"/>
      <c r="B67" s="61">
        <v>43500</v>
      </c>
      <c r="C67" s="62" t="s">
        <v>20</v>
      </c>
      <c r="D67" s="62" t="s">
        <v>21</v>
      </c>
      <c r="E67" s="53">
        <f>SUM(F67:N67)</f>
        <v>1</v>
      </c>
      <c r="F67" s="63"/>
      <c r="G67" s="63"/>
      <c r="H67" s="63"/>
      <c r="I67" s="63"/>
      <c r="J67" s="63">
        <v>1</v>
      </c>
      <c r="K67" s="63"/>
      <c r="L67" s="63"/>
      <c r="M67" s="63"/>
      <c r="N67" s="63"/>
      <c r="O67" s="64" t="s">
        <v>400</v>
      </c>
      <c r="P67" s="56"/>
      <c r="Q67" s="57"/>
      <c r="R67" s="58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 spans="1:28" ht="14.4" x14ac:dyDescent="0.3">
      <c r="A68" s="50"/>
      <c r="B68" s="61">
        <v>43500</v>
      </c>
      <c r="C68" s="62" t="s">
        <v>65</v>
      </c>
      <c r="D68" s="62" t="s">
        <v>66</v>
      </c>
      <c r="E68" s="53">
        <f>SUM(F68:N68)</f>
        <v>1</v>
      </c>
      <c r="F68" s="63"/>
      <c r="G68" s="63"/>
      <c r="H68" s="63"/>
      <c r="I68" s="63"/>
      <c r="J68" s="63">
        <v>1</v>
      </c>
      <c r="K68" s="63"/>
      <c r="L68" s="63"/>
      <c r="M68" s="63"/>
      <c r="N68" s="63"/>
      <c r="O68" s="64" t="s">
        <v>255</v>
      </c>
      <c r="P68" s="56"/>
      <c r="Q68" s="57"/>
      <c r="R68" s="58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 spans="1:28" ht="14.4" x14ac:dyDescent="0.3">
      <c r="A69" s="50"/>
      <c r="B69" s="61">
        <v>43501</v>
      </c>
      <c r="C69" s="62" t="s">
        <v>17</v>
      </c>
      <c r="D69" s="52" t="s">
        <v>18</v>
      </c>
      <c r="E69" s="53">
        <f>SUM(F69:N69)</f>
        <v>1</v>
      </c>
      <c r="F69" s="63"/>
      <c r="G69" s="63"/>
      <c r="H69" s="63"/>
      <c r="I69" s="63"/>
      <c r="J69" s="63">
        <v>1</v>
      </c>
      <c r="K69" s="63"/>
      <c r="L69" s="63"/>
      <c r="M69" s="63"/>
      <c r="N69" s="63"/>
      <c r="O69" s="64" t="s">
        <v>256</v>
      </c>
      <c r="P69" s="56"/>
      <c r="Q69" s="68" t="s">
        <v>913</v>
      </c>
      <c r="R69" s="58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 spans="1:28" ht="14.4" x14ac:dyDescent="0.3">
      <c r="A70" s="50"/>
      <c r="B70" s="61">
        <v>43501</v>
      </c>
      <c r="C70" s="62" t="s">
        <v>38</v>
      </c>
      <c r="D70" s="62" t="s">
        <v>39</v>
      </c>
      <c r="E70" s="53">
        <f>SUM(F70:N70)</f>
        <v>2</v>
      </c>
      <c r="F70" s="63"/>
      <c r="G70" s="63"/>
      <c r="H70" s="63">
        <v>1</v>
      </c>
      <c r="I70" s="63"/>
      <c r="J70" s="63">
        <v>1</v>
      </c>
      <c r="K70" s="63"/>
      <c r="L70" s="63"/>
      <c r="M70" s="63"/>
      <c r="N70" s="63"/>
      <c r="O70" s="64" t="s">
        <v>493</v>
      </c>
      <c r="P70" s="56"/>
      <c r="Q70" s="57"/>
      <c r="R70" s="58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 spans="1:28" ht="14.4" x14ac:dyDescent="0.3">
      <c r="A71" s="50"/>
      <c r="B71" s="61">
        <v>43502</v>
      </c>
      <c r="C71" s="62" t="s">
        <v>26</v>
      </c>
      <c r="D71" s="62" t="s">
        <v>27</v>
      </c>
      <c r="E71" s="53">
        <f>SUM(F71:N71)</f>
        <v>2</v>
      </c>
      <c r="F71" s="63"/>
      <c r="G71" s="63"/>
      <c r="H71" s="63"/>
      <c r="I71" s="63"/>
      <c r="J71" s="63">
        <v>2</v>
      </c>
      <c r="K71" s="63"/>
      <c r="L71" s="63"/>
      <c r="M71" s="63"/>
      <c r="N71" s="63"/>
      <c r="O71" s="64" t="s">
        <v>521</v>
      </c>
      <c r="P71" s="56"/>
      <c r="Q71" s="57"/>
      <c r="R71" s="58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 spans="1:28" ht="14.4" x14ac:dyDescent="0.3">
      <c r="A72" s="50"/>
      <c r="B72" s="61">
        <v>43503</v>
      </c>
      <c r="C72" s="62" t="s">
        <v>26</v>
      </c>
      <c r="D72" s="62" t="s">
        <v>27</v>
      </c>
      <c r="E72" s="53">
        <f>SUM(F72:N72)</f>
        <v>1</v>
      </c>
      <c r="F72" s="63"/>
      <c r="G72" s="63"/>
      <c r="H72" s="63"/>
      <c r="I72" s="63"/>
      <c r="J72" s="63">
        <v>1</v>
      </c>
      <c r="K72" s="63"/>
      <c r="L72" s="63"/>
      <c r="M72" s="63"/>
      <c r="N72" s="63"/>
      <c r="O72" s="64" t="s">
        <v>522</v>
      </c>
      <c r="P72" s="56"/>
      <c r="Q72" s="57"/>
      <c r="R72" s="58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 spans="1:28" ht="14.4" x14ac:dyDescent="0.3">
      <c r="A73" s="50"/>
      <c r="B73" s="61">
        <v>43503</v>
      </c>
      <c r="C73" s="62" t="s">
        <v>59</v>
      </c>
      <c r="D73" s="62" t="s">
        <v>60</v>
      </c>
      <c r="E73" s="53">
        <f>SUM(F73:N73)</f>
        <v>1</v>
      </c>
      <c r="F73" s="63"/>
      <c r="G73" s="63"/>
      <c r="H73" s="63"/>
      <c r="I73" s="63"/>
      <c r="J73" s="63">
        <v>1</v>
      </c>
      <c r="K73" s="63"/>
      <c r="L73" s="63"/>
      <c r="M73" s="63"/>
      <c r="N73" s="63"/>
      <c r="O73" s="64" t="s">
        <v>228</v>
      </c>
      <c r="P73" s="56"/>
      <c r="Q73" s="57"/>
      <c r="R73" s="58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 spans="1:28" ht="14.4" x14ac:dyDescent="0.3">
      <c r="A74" s="50"/>
      <c r="B74" s="61">
        <v>43503</v>
      </c>
      <c r="C74" s="62" t="s">
        <v>17</v>
      </c>
      <c r="D74" s="52" t="s">
        <v>18</v>
      </c>
      <c r="E74" s="53">
        <f>SUM(F74:N74)</f>
        <v>2</v>
      </c>
      <c r="F74" s="63"/>
      <c r="G74" s="63"/>
      <c r="H74" s="63"/>
      <c r="I74" s="63"/>
      <c r="J74" s="63">
        <v>2</v>
      </c>
      <c r="K74" s="63"/>
      <c r="L74" s="63"/>
      <c r="M74" s="63"/>
      <c r="N74" s="63"/>
      <c r="O74" s="64" t="s">
        <v>257</v>
      </c>
      <c r="P74" s="56"/>
      <c r="Q74" s="68" t="s">
        <v>914</v>
      </c>
      <c r="R74" s="58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 spans="1:28" ht="14.4" x14ac:dyDescent="0.3">
      <c r="A75" s="50"/>
      <c r="B75" s="61">
        <v>43503</v>
      </c>
      <c r="C75" s="62" t="s">
        <v>14</v>
      </c>
      <c r="D75" s="62" t="s">
        <v>15</v>
      </c>
      <c r="E75" s="53">
        <f>SUM(F75:N75)</f>
        <v>3</v>
      </c>
      <c r="F75" s="63"/>
      <c r="G75" s="63"/>
      <c r="H75" s="63">
        <v>1</v>
      </c>
      <c r="I75" s="63">
        <v>1</v>
      </c>
      <c r="J75" s="63">
        <v>1</v>
      </c>
      <c r="K75" s="63"/>
      <c r="L75" s="63"/>
      <c r="M75" s="63"/>
      <c r="N75" s="63"/>
      <c r="O75" s="64" t="s">
        <v>808</v>
      </c>
      <c r="P75" s="56"/>
      <c r="Q75" s="57"/>
      <c r="R75" s="58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 spans="1:28" ht="14.4" x14ac:dyDescent="0.3">
      <c r="A76" s="50"/>
      <c r="B76" s="61">
        <v>43504</v>
      </c>
      <c r="C76" s="62" t="s">
        <v>23</v>
      </c>
      <c r="D76" s="62" t="s">
        <v>24</v>
      </c>
      <c r="E76" s="53">
        <f>SUM(F76:N76)</f>
        <v>2</v>
      </c>
      <c r="F76" s="63"/>
      <c r="G76" s="63"/>
      <c r="H76" s="63"/>
      <c r="I76" s="63"/>
      <c r="J76" s="63">
        <v>1</v>
      </c>
      <c r="K76" s="63">
        <v>1</v>
      </c>
      <c r="L76" s="63"/>
      <c r="M76" s="63"/>
      <c r="N76" s="63"/>
      <c r="O76" s="64" t="s">
        <v>861</v>
      </c>
      <c r="P76" s="56"/>
      <c r="Q76" s="57"/>
      <c r="R76" s="58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 spans="1:28" ht="14.4" x14ac:dyDescent="0.3">
      <c r="A77" s="50"/>
      <c r="B77" s="61">
        <v>43505</v>
      </c>
      <c r="C77" s="62" t="s">
        <v>59</v>
      </c>
      <c r="D77" s="62" t="s">
        <v>60</v>
      </c>
      <c r="E77" s="53">
        <f>SUM(F77:N77)</f>
        <v>2</v>
      </c>
      <c r="F77" s="63"/>
      <c r="G77" s="63"/>
      <c r="H77" s="63"/>
      <c r="I77" s="63"/>
      <c r="J77" s="63">
        <v>2</v>
      </c>
      <c r="K77" s="63"/>
      <c r="L77" s="63"/>
      <c r="M77" s="63"/>
      <c r="N77" s="63"/>
      <c r="O77" s="64" t="s">
        <v>184</v>
      </c>
      <c r="P77" s="56"/>
      <c r="Q77" s="57"/>
      <c r="R77" s="58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 spans="1:28" ht="14.4" x14ac:dyDescent="0.3">
      <c r="A78" s="50"/>
      <c r="B78" s="61">
        <v>43505</v>
      </c>
      <c r="C78" s="62" t="s">
        <v>124</v>
      </c>
      <c r="D78" s="62" t="s">
        <v>125</v>
      </c>
      <c r="E78" s="53">
        <f>SUM(F78:N78)</f>
        <v>1</v>
      </c>
      <c r="F78" s="63"/>
      <c r="G78" s="63"/>
      <c r="H78" s="63"/>
      <c r="I78" s="63"/>
      <c r="J78" s="63">
        <v>1</v>
      </c>
      <c r="K78" s="63"/>
      <c r="L78" s="63"/>
      <c r="M78" s="63"/>
      <c r="N78" s="63"/>
      <c r="O78" s="64" t="s">
        <v>186</v>
      </c>
      <c r="P78" s="56"/>
      <c r="Q78" s="57"/>
      <c r="R78" s="58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 spans="1:28" ht="14.4" x14ac:dyDescent="0.3">
      <c r="A79" s="50"/>
      <c r="B79" s="61">
        <v>43505</v>
      </c>
      <c r="C79" s="62" t="s">
        <v>26</v>
      </c>
      <c r="D79" s="62" t="s">
        <v>27</v>
      </c>
      <c r="E79" s="53">
        <f>SUM(F79:N79)</f>
        <v>6</v>
      </c>
      <c r="F79" s="63"/>
      <c r="G79" s="63"/>
      <c r="H79" s="63">
        <v>1</v>
      </c>
      <c r="I79" s="63">
        <v>1</v>
      </c>
      <c r="J79" s="63">
        <v>2</v>
      </c>
      <c r="K79" s="63"/>
      <c r="L79" s="63">
        <v>2</v>
      </c>
      <c r="M79" s="63"/>
      <c r="N79" s="63"/>
      <c r="O79" s="64" t="s">
        <v>523</v>
      </c>
      <c r="P79" s="56"/>
      <c r="Q79" s="57"/>
      <c r="R79" s="58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 spans="1:28" ht="14.4" x14ac:dyDescent="0.3">
      <c r="A80" s="50"/>
      <c r="B80" s="61">
        <v>43505</v>
      </c>
      <c r="C80" s="62" t="s">
        <v>20</v>
      </c>
      <c r="D80" s="62" t="s">
        <v>21</v>
      </c>
      <c r="E80" s="53">
        <f>SUM(F80:N80)</f>
        <v>2</v>
      </c>
      <c r="F80" s="63"/>
      <c r="G80" s="63"/>
      <c r="H80" s="63"/>
      <c r="I80" s="63"/>
      <c r="J80" s="63">
        <v>1</v>
      </c>
      <c r="K80" s="63">
        <v>1</v>
      </c>
      <c r="L80" s="63"/>
      <c r="M80" s="63"/>
      <c r="N80" s="63"/>
      <c r="O80" s="64" t="s">
        <v>404</v>
      </c>
      <c r="P80" s="56"/>
      <c r="Q80" s="57"/>
      <c r="R80" s="58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 spans="1:28" ht="14.4" x14ac:dyDescent="0.3">
      <c r="A81" s="50"/>
      <c r="B81" s="61">
        <v>43505</v>
      </c>
      <c r="C81" s="62" t="s">
        <v>14</v>
      </c>
      <c r="D81" s="62" t="s">
        <v>15</v>
      </c>
      <c r="E81" s="53">
        <f>SUM(F81:N81)</f>
        <v>5</v>
      </c>
      <c r="F81" s="63"/>
      <c r="G81" s="63">
        <v>1</v>
      </c>
      <c r="H81" s="63"/>
      <c r="I81" s="63"/>
      <c r="J81" s="63">
        <v>4</v>
      </c>
      <c r="K81" s="63"/>
      <c r="L81" s="63"/>
      <c r="M81" s="63"/>
      <c r="N81" s="63"/>
      <c r="O81" s="64" t="s">
        <v>809</v>
      </c>
      <c r="P81" s="56"/>
      <c r="Q81" s="57"/>
      <c r="R81" s="58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 spans="1:28" ht="14.4" x14ac:dyDescent="0.3">
      <c r="A82" s="50"/>
      <c r="B82" s="61">
        <v>43505</v>
      </c>
      <c r="C82" s="62" t="s">
        <v>133</v>
      </c>
      <c r="D82" s="62" t="s">
        <v>134</v>
      </c>
      <c r="E82" s="53">
        <f>SUM(F82:N82)</f>
        <v>2</v>
      </c>
      <c r="F82" s="63"/>
      <c r="G82" s="63"/>
      <c r="H82" s="63"/>
      <c r="I82" s="63"/>
      <c r="J82" s="63">
        <v>2</v>
      </c>
      <c r="K82" s="63"/>
      <c r="L82" s="63"/>
      <c r="M82" s="63"/>
      <c r="N82" s="63"/>
      <c r="O82" s="64" t="s">
        <v>184</v>
      </c>
      <c r="P82" s="56"/>
      <c r="Q82" s="57"/>
      <c r="R82" s="58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 spans="1:28" ht="14.4" x14ac:dyDescent="0.3">
      <c r="A83" s="50"/>
      <c r="B83" s="61">
        <v>43505</v>
      </c>
      <c r="C83" s="62" t="s">
        <v>53</v>
      </c>
      <c r="D83" s="62" t="s">
        <v>54</v>
      </c>
      <c r="E83" s="53">
        <f>SUM(F83:N83)</f>
        <v>2</v>
      </c>
      <c r="F83" s="63"/>
      <c r="G83" s="63"/>
      <c r="H83" s="63"/>
      <c r="I83" s="63"/>
      <c r="J83" s="63">
        <v>2</v>
      </c>
      <c r="K83" s="63"/>
      <c r="L83" s="63"/>
      <c r="M83" s="63"/>
      <c r="N83" s="63"/>
      <c r="O83" s="64" t="s">
        <v>184</v>
      </c>
      <c r="P83" s="56"/>
      <c r="Q83" s="57"/>
      <c r="R83" s="58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 spans="1:28" ht="14.4" x14ac:dyDescent="0.3">
      <c r="A84" s="50"/>
      <c r="B84" s="61">
        <v>43506</v>
      </c>
      <c r="C84" s="62" t="s">
        <v>17</v>
      </c>
      <c r="D84" s="52" t="s">
        <v>18</v>
      </c>
      <c r="E84" s="53">
        <f>SUM(F84:N84)</f>
        <v>4</v>
      </c>
      <c r="F84" s="63"/>
      <c r="G84" s="63"/>
      <c r="H84" s="63"/>
      <c r="I84" s="63"/>
      <c r="J84" s="63">
        <v>4</v>
      </c>
      <c r="K84" s="63"/>
      <c r="L84" s="63"/>
      <c r="M84" s="63"/>
      <c r="N84" s="63"/>
      <c r="O84" s="64" t="s">
        <v>258</v>
      </c>
      <c r="P84" s="56"/>
      <c r="Q84" s="68" t="s">
        <v>915</v>
      </c>
      <c r="R84" s="58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 spans="1:28" ht="14.4" x14ac:dyDescent="0.3">
      <c r="A85" s="50"/>
      <c r="B85" s="61">
        <v>43506</v>
      </c>
      <c r="C85" s="62" t="s">
        <v>38</v>
      </c>
      <c r="D85" s="62" t="s">
        <v>39</v>
      </c>
      <c r="E85" s="53">
        <f>SUM(F85:N85)</f>
        <v>1</v>
      </c>
      <c r="F85" s="63"/>
      <c r="G85" s="63">
        <v>1</v>
      </c>
      <c r="H85" s="63"/>
      <c r="I85" s="63"/>
      <c r="J85" s="63"/>
      <c r="K85" s="63"/>
      <c r="L85" s="63"/>
      <c r="M85" s="63"/>
      <c r="N85" s="63"/>
      <c r="O85" s="64" t="s">
        <v>494</v>
      </c>
      <c r="P85" s="56"/>
      <c r="Q85" s="57"/>
      <c r="R85" s="58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 spans="1:28" ht="14.4" x14ac:dyDescent="0.3">
      <c r="A86" s="50"/>
      <c r="B86" s="61">
        <v>43506</v>
      </c>
      <c r="C86" s="62" t="s">
        <v>50</v>
      </c>
      <c r="D86" s="62" t="s">
        <v>51</v>
      </c>
      <c r="E86" s="53">
        <f>SUM(F86:N86)</f>
        <v>3</v>
      </c>
      <c r="F86" s="63"/>
      <c r="G86" s="63">
        <v>1</v>
      </c>
      <c r="H86" s="63">
        <v>1</v>
      </c>
      <c r="I86" s="63"/>
      <c r="J86" s="63">
        <v>1</v>
      </c>
      <c r="K86" s="63"/>
      <c r="L86" s="63"/>
      <c r="M86" s="63"/>
      <c r="N86" s="63"/>
      <c r="O86" s="64" t="s">
        <v>757</v>
      </c>
      <c r="P86" s="56"/>
      <c r="Q86" s="57"/>
      <c r="R86" s="58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 spans="1:28" ht="14.4" x14ac:dyDescent="0.3">
      <c r="A87" s="50"/>
      <c r="B87" s="61">
        <v>43506</v>
      </c>
      <c r="C87" s="62" t="s">
        <v>103</v>
      </c>
      <c r="D87" s="62" t="s">
        <v>104</v>
      </c>
      <c r="E87" s="53">
        <f>SUM(F87:N87)</f>
        <v>1</v>
      </c>
      <c r="F87" s="63"/>
      <c r="G87" s="63"/>
      <c r="H87" s="63"/>
      <c r="I87" s="63"/>
      <c r="J87" s="63"/>
      <c r="K87" s="63"/>
      <c r="L87" s="63"/>
      <c r="M87" s="63">
        <v>1</v>
      </c>
      <c r="N87" s="63"/>
      <c r="O87" s="64" t="s">
        <v>11</v>
      </c>
      <c r="P87" s="56"/>
      <c r="Q87" s="57"/>
      <c r="R87" s="58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 spans="1:28" ht="14.4" x14ac:dyDescent="0.3">
      <c r="A88" s="50"/>
      <c r="B88" s="61">
        <v>43507</v>
      </c>
      <c r="C88" s="62" t="s">
        <v>32</v>
      </c>
      <c r="D88" s="62" t="s">
        <v>33</v>
      </c>
      <c r="E88" s="53">
        <f>SUM(F88:N88)</f>
        <v>1</v>
      </c>
      <c r="F88" s="63"/>
      <c r="G88" s="63"/>
      <c r="H88" s="63"/>
      <c r="I88" s="63"/>
      <c r="J88" s="63">
        <v>1</v>
      </c>
      <c r="K88" s="63"/>
      <c r="L88" s="63"/>
      <c r="M88" s="63"/>
      <c r="N88" s="63"/>
      <c r="O88" s="64" t="s">
        <v>503</v>
      </c>
      <c r="P88" s="56"/>
      <c r="Q88" s="57"/>
      <c r="R88" s="58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 spans="1:28" ht="14.4" x14ac:dyDescent="0.3">
      <c r="A89" s="50"/>
      <c r="B89" s="61">
        <v>43510</v>
      </c>
      <c r="C89" s="62" t="s">
        <v>14</v>
      </c>
      <c r="D89" s="62" t="s">
        <v>15</v>
      </c>
      <c r="E89" s="53">
        <f>SUM(F89:N89)</f>
        <v>6</v>
      </c>
      <c r="F89" s="63"/>
      <c r="G89" s="63"/>
      <c r="H89" s="63"/>
      <c r="I89" s="63">
        <v>3</v>
      </c>
      <c r="J89" s="63">
        <v>3</v>
      </c>
      <c r="K89" s="63"/>
      <c r="L89" s="63"/>
      <c r="M89" s="63"/>
      <c r="N89" s="63"/>
      <c r="O89" s="64" t="s">
        <v>810</v>
      </c>
      <c r="P89" s="56"/>
      <c r="Q89" s="57"/>
      <c r="R89" s="58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 spans="1:28" ht="14.4" x14ac:dyDescent="0.3">
      <c r="A90" s="50"/>
      <c r="B90" s="61">
        <v>43510</v>
      </c>
      <c r="C90" s="62" t="s">
        <v>32</v>
      </c>
      <c r="D90" s="62" t="s">
        <v>33</v>
      </c>
      <c r="E90" s="53">
        <f>SUM(F90:N90)</f>
        <v>1</v>
      </c>
      <c r="F90" s="63"/>
      <c r="G90" s="63"/>
      <c r="H90" s="63"/>
      <c r="I90" s="63"/>
      <c r="J90" s="63">
        <v>1</v>
      </c>
      <c r="K90" s="63"/>
      <c r="L90" s="63"/>
      <c r="M90" s="63"/>
      <c r="N90" s="63"/>
      <c r="O90" s="64" t="s">
        <v>250</v>
      </c>
      <c r="P90" s="56"/>
      <c r="Q90" s="57"/>
      <c r="R90" s="58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 spans="1:28" ht="14.4" x14ac:dyDescent="0.3">
      <c r="A91" s="50"/>
      <c r="B91" s="61">
        <v>43511</v>
      </c>
      <c r="C91" s="62" t="s">
        <v>32</v>
      </c>
      <c r="D91" s="62" t="s">
        <v>33</v>
      </c>
      <c r="E91" s="53">
        <f>SUM(F91:N91)</f>
        <v>1</v>
      </c>
      <c r="F91" s="63"/>
      <c r="G91" s="63"/>
      <c r="H91" s="63"/>
      <c r="I91" s="63"/>
      <c r="J91" s="63">
        <v>1</v>
      </c>
      <c r="K91" s="63"/>
      <c r="L91" s="63"/>
      <c r="M91" s="63"/>
      <c r="N91" s="63"/>
      <c r="O91" s="64" t="s">
        <v>632</v>
      </c>
      <c r="P91" s="56"/>
      <c r="Q91" s="57"/>
      <c r="R91" s="58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 spans="1:28" ht="14.4" x14ac:dyDescent="0.3">
      <c r="A92" s="50"/>
      <c r="B92" s="61">
        <v>43511</v>
      </c>
      <c r="C92" s="62" t="s">
        <v>163</v>
      </c>
      <c r="D92" s="62" t="s">
        <v>164</v>
      </c>
      <c r="E92" s="53">
        <f>SUM(F92:N92)</f>
        <v>1</v>
      </c>
      <c r="F92" s="63"/>
      <c r="G92" s="63"/>
      <c r="H92" s="63"/>
      <c r="I92" s="63"/>
      <c r="J92" s="63">
        <v>1</v>
      </c>
      <c r="K92" s="63"/>
      <c r="L92" s="63"/>
      <c r="M92" s="63"/>
      <c r="N92" s="63"/>
      <c r="O92" s="64" t="s">
        <v>515</v>
      </c>
      <c r="P92" s="56"/>
      <c r="Q92" s="57"/>
      <c r="R92" s="58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 spans="1:28" ht="14.4" x14ac:dyDescent="0.3">
      <c r="A93" s="50"/>
      <c r="B93" s="61">
        <v>43512</v>
      </c>
      <c r="C93" s="62" t="s">
        <v>20</v>
      </c>
      <c r="D93" s="62" t="s">
        <v>21</v>
      </c>
      <c r="E93" s="53">
        <f>SUM(F93:N93)</f>
        <v>1</v>
      </c>
      <c r="F93" s="63"/>
      <c r="G93" s="63"/>
      <c r="H93" s="63">
        <v>1</v>
      </c>
      <c r="I93" s="63"/>
      <c r="J93" s="63"/>
      <c r="K93" s="63"/>
      <c r="L93" s="63"/>
      <c r="M93" s="63"/>
      <c r="N93" s="63"/>
      <c r="O93" s="64" t="s">
        <v>405</v>
      </c>
      <c r="P93" s="56"/>
      <c r="Q93" s="57"/>
      <c r="R93" s="58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 spans="1:28" ht="14.4" x14ac:dyDescent="0.3">
      <c r="A94" s="50"/>
      <c r="B94" s="61">
        <v>43512</v>
      </c>
      <c r="C94" s="62" t="s">
        <v>26</v>
      </c>
      <c r="D94" s="62" t="s">
        <v>27</v>
      </c>
      <c r="E94" s="53">
        <f>SUM(F94:N94)</f>
        <v>3</v>
      </c>
      <c r="F94" s="63"/>
      <c r="G94" s="63"/>
      <c r="H94" s="63">
        <v>2</v>
      </c>
      <c r="I94" s="63"/>
      <c r="J94" s="63">
        <v>1</v>
      </c>
      <c r="K94" s="63"/>
      <c r="L94" s="63"/>
      <c r="M94" s="63"/>
      <c r="N94" s="63"/>
      <c r="O94" s="64" t="s">
        <v>524</v>
      </c>
      <c r="P94" s="56"/>
      <c r="Q94" s="57"/>
      <c r="R94" s="58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 spans="1:28" ht="14.4" x14ac:dyDescent="0.3">
      <c r="A95" s="50"/>
      <c r="B95" s="61">
        <v>43512</v>
      </c>
      <c r="C95" s="62" t="s">
        <v>14</v>
      </c>
      <c r="D95" s="62" t="s">
        <v>15</v>
      </c>
      <c r="E95" s="53">
        <f>SUM(F95:N95)</f>
        <v>5</v>
      </c>
      <c r="F95" s="63"/>
      <c r="G95" s="63"/>
      <c r="H95" s="63"/>
      <c r="I95" s="63">
        <v>3</v>
      </c>
      <c r="J95" s="63">
        <v>2</v>
      </c>
      <c r="K95" s="63"/>
      <c r="L95" s="63"/>
      <c r="M95" s="63"/>
      <c r="N95" s="63"/>
      <c r="O95" s="64" t="s">
        <v>811</v>
      </c>
      <c r="P95" s="56"/>
      <c r="Q95" s="57"/>
      <c r="R95" s="58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 spans="1:28" ht="14.4" x14ac:dyDescent="0.3">
      <c r="A96" s="50"/>
      <c r="B96" s="61">
        <v>43512</v>
      </c>
      <c r="C96" s="62" t="s">
        <v>23</v>
      </c>
      <c r="D96" s="62" t="s">
        <v>24</v>
      </c>
      <c r="E96" s="53">
        <f>SUM(F96:N96)</f>
        <v>2</v>
      </c>
      <c r="F96" s="63"/>
      <c r="G96" s="63"/>
      <c r="H96" s="63">
        <v>1</v>
      </c>
      <c r="I96" s="63"/>
      <c r="J96" s="63">
        <v>1</v>
      </c>
      <c r="K96" s="63"/>
      <c r="L96" s="63"/>
      <c r="M96" s="63"/>
      <c r="N96" s="63"/>
      <c r="O96" s="64" t="s">
        <v>801</v>
      </c>
      <c r="P96" s="56"/>
      <c r="Q96" s="57"/>
      <c r="R96" s="58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 spans="1:28" ht="14.4" x14ac:dyDescent="0.3">
      <c r="A97" s="50"/>
      <c r="B97" s="61">
        <v>43512</v>
      </c>
      <c r="C97" s="62" t="s">
        <v>109</v>
      </c>
      <c r="D97" s="62" t="s">
        <v>110</v>
      </c>
      <c r="E97" s="53">
        <f>SUM(F97:N97)</f>
        <v>2</v>
      </c>
      <c r="F97" s="63"/>
      <c r="G97" s="63"/>
      <c r="H97" s="63"/>
      <c r="I97" s="63">
        <v>1</v>
      </c>
      <c r="J97" s="63">
        <v>1</v>
      </c>
      <c r="K97" s="63"/>
      <c r="L97" s="63"/>
      <c r="M97" s="63"/>
      <c r="N97" s="63"/>
      <c r="O97" s="64" t="s">
        <v>608</v>
      </c>
      <c r="P97" s="56"/>
      <c r="Q97" s="57"/>
      <c r="R97" s="58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 spans="1:28" ht="14.4" x14ac:dyDescent="0.3">
      <c r="A98" s="50"/>
      <c r="B98" s="61">
        <v>43512</v>
      </c>
      <c r="C98" s="62" t="s">
        <v>29</v>
      </c>
      <c r="D98" s="62" t="s">
        <v>30</v>
      </c>
      <c r="E98" s="53">
        <f>SUM(F98:N98)</f>
        <v>1</v>
      </c>
      <c r="F98" s="63"/>
      <c r="G98" s="63"/>
      <c r="H98" s="63"/>
      <c r="I98" s="63"/>
      <c r="J98" s="63">
        <v>1</v>
      </c>
      <c r="K98" s="63"/>
      <c r="L98" s="63"/>
      <c r="M98" s="63"/>
      <c r="N98" s="63"/>
      <c r="O98" s="64" t="s">
        <v>395</v>
      </c>
      <c r="P98" s="56"/>
      <c r="Q98" s="57"/>
      <c r="R98" s="58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 spans="1:28" ht="14.4" x14ac:dyDescent="0.3">
      <c r="A99" s="50"/>
      <c r="B99" s="61">
        <v>43512</v>
      </c>
      <c r="C99" s="62" t="s">
        <v>26</v>
      </c>
      <c r="D99" s="62" t="s">
        <v>27</v>
      </c>
      <c r="E99" s="53">
        <f>SUM(F99:N99)</f>
        <v>7</v>
      </c>
      <c r="F99" s="63"/>
      <c r="G99" s="63"/>
      <c r="H99" s="63"/>
      <c r="I99" s="63">
        <v>7</v>
      </c>
      <c r="J99" s="63"/>
      <c r="K99" s="63"/>
      <c r="L99" s="63"/>
      <c r="M99" s="63"/>
      <c r="N99" s="63"/>
      <c r="O99" s="64" t="s">
        <v>525</v>
      </c>
      <c r="P99" s="56"/>
      <c r="Q99" s="57"/>
      <c r="R99" s="58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 spans="1:28" ht="14.4" x14ac:dyDescent="0.3">
      <c r="A100" s="50"/>
      <c r="B100" s="61">
        <v>43513</v>
      </c>
      <c r="C100" s="62" t="s">
        <v>44</v>
      </c>
      <c r="D100" s="62" t="s">
        <v>45</v>
      </c>
      <c r="E100" s="53">
        <f>SUM(F100:N100)</f>
        <v>1</v>
      </c>
      <c r="F100" s="63"/>
      <c r="G100" s="63"/>
      <c r="H100" s="63"/>
      <c r="I100" s="63"/>
      <c r="J100" s="63">
        <v>1</v>
      </c>
      <c r="K100" s="63"/>
      <c r="L100" s="63"/>
      <c r="M100" s="63"/>
      <c r="N100" s="63"/>
      <c r="O100" s="64" t="s">
        <v>375</v>
      </c>
      <c r="P100" s="56"/>
      <c r="Q100" s="57"/>
      <c r="R100" s="58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 spans="1:28" ht="14.4" x14ac:dyDescent="0.3">
      <c r="A101" s="50"/>
      <c r="B101" s="61">
        <v>43513</v>
      </c>
      <c r="C101" s="62" t="s">
        <v>59</v>
      </c>
      <c r="D101" s="62" t="s">
        <v>60</v>
      </c>
      <c r="E101" s="53">
        <f>SUM(F101:N101)</f>
        <v>2</v>
      </c>
      <c r="F101" s="63"/>
      <c r="G101" s="63"/>
      <c r="H101" s="63"/>
      <c r="I101" s="63"/>
      <c r="J101" s="63">
        <v>2</v>
      </c>
      <c r="K101" s="63"/>
      <c r="L101" s="63"/>
      <c r="M101" s="63"/>
      <c r="N101" s="63"/>
      <c r="O101" s="64" t="s">
        <v>229</v>
      </c>
      <c r="P101" s="56"/>
      <c r="Q101" s="57"/>
      <c r="R101" s="58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 spans="1:28" ht="14.4" x14ac:dyDescent="0.3">
      <c r="A102" s="50"/>
      <c r="B102" s="61">
        <v>43513</v>
      </c>
      <c r="C102" s="62" t="s">
        <v>35</v>
      </c>
      <c r="D102" s="62" t="s">
        <v>36</v>
      </c>
      <c r="E102" s="53">
        <f>SUM(F102:N102)</f>
        <v>2</v>
      </c>
      <c r="F102" s="63"/>
      <c r="G102" s="63"/>
      <c r="H102" s="63"/>
      <c r="I102" s="63"/>
      <c r="J102" s="63">
        <v>2</v>
      </c>
      <c r="K102" s="63"/>
      <c r="L102" s="63"/>
      <c r="M102" s="63"/>
      <c r="N102" s="63"/>
      <c r="O102" s="64" t="s">
        <v>229</v>
      </c>
      <c r="P102" s="56"/>
      <c r="Q102" s="57"/>
      <c r="R102" s="58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 spans="1:28" ht="14.4" x14ac:dyDescent="0.3">
      <c r="A103" s="50"/>
      <c r="B103" s="61">
        <v>43513</v>
      </c>
      <c r="C103" s="62" t="s">
        <v>17</v>
      </c>
      <c r="D103" s="52" t="s">
        <v>18</v>
      </c>
      <c r="E103" s="53">
        <f>SUM(F103:N103)</f>
        <v>2</v>
      </c>
      <c r="F103" s="63"/>
      <c r="G103" s="63">
        <v>1</v>
      </c>
      <c r="H103" s="63"/>
      <c r="I103" s="63"/>
      <c r="J103" s="63">
        <v>1</v>
      </c>
      <c r="K103" s="63"/>
      <c r="L103" s="63"/>
      <c r="M103" s="63"/>
      <c r="N103" s="63"/>
      <c r="O103" s="64" t="s">
        <v>259</v>
      </c>
      <c r="P103" s="56"/>
      <c r="Q103" s="68" t="s">
        <v>916</v>
      </c>
      <c r="R103" s="58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 spans="1:28" ht="14.4" x14ac:dyDescent="0.3">
      <c r="A104" s="50"/>
      <c r="B104" s="61">
        <v>43513</v>
      </c>
      <c r="C104" s="62" t="s">
        <v>50</v>
      </c>
      <c r="D104" s="62" t="s">
        <v>51</v>
      </c>
      <c r="E104" s="53">
        <f>SUM(F104:N104)</f>
        <v>3</v>
      </c>
      <c r="F104" s="63"/>
      <c r="G104" s="63">
        <v>1</v>
      </c>
      <c r="H104" s="63"/>
      <c r="I104" s="63"/>
      <c r="J104" s="63">
        <v>2</v>
      </c>
      <c r="K104" s="63"/>
      <c r="L104" s="63"/>
      <c r="M104" s="63"/>
      <c r="N104" s="63"/>
      <c r="O104" s="64" t="s">
        <v>758</v>
      </c>
      <c r="P104" s="56"/>
      <c r="Q104" s="57"/>
      <c r="R104" s="58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 spans="1:28" ht="14.4" x14ac:dyDescent="0.3">
      <c r="A105" s="50"/>
      <c r="B105" s="61">
        <v>43513</v>
      </c>
      <c r="C105" s="62" t="s">
        <v>26</v>
      </c>
      <c r="D105" s="62" t="s">
        <v>27</v>
      </c>
      <c r="E105" s="53">
        <f>SUM(F105:N105)</f>
        <v>1</v>
      </c>
      <c r="F105" s="63"/>
      <c r="G105" s="63"/>
      <c r="H105" s="63"/>
      <c r="I105" s="63"/>
      <c r="J105" s="63">
        <v>1</v>
      </c>
      <c r="K105" s="63"/>
      <c r="L105" s="63"/>
      <c r="M105" s="63"/>
      <c r="N105" s="63"/>
      <c r="O105" s="64" t="s">
        <v>526</v>
      </c>
      <c r="P105" s="56"/>
      <c r="Q105" s="57"/>
      <c r="R105" s="58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 spans="1:28" ht="14.4" x14ac:dyDescent="0.3">
      <c r="A106" s="50"/>
      <c r="B106" s="61">
        <v>43514</v>
      </c>
      <c r="C106" s="62" t="s">
        <v>86</v>
      </c>
      <c r="D106" s="62" t="s">
        <v>87</v>
      </c>
      <c r="E106" s="53">
        <f>SUM(F106:N106)</f>
        <v>1</v>
      </c>
      <c r="F106" s="63"/>
      <c r="G106" s="63"/>
      <c r="H106" s="63"/>
      <c r="I106" s="63"/>
      <c r="J106" s="63">
        <v>1</v>
      </c>
      <c r="K106" s="63"/>
      <c r="L106" s="63"/>
      <c r="M106" s="63"/>
      <c r="N106" s="63"/>
      <c r="O106" s="64" t="s">
        <v>794</v>
      </c>
      <c r="P106" s="56"/>
      <c r="Q106" s="57"/>
      <c r="R106" s="58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 spans="1:28" ht="14.4" x14ac:dyDescent="0.3">
      <c r="A107" s="50"/>
      <c r="B107" s="61">
        <v>43514</v>
      </c>
      <c r="C107" s="62" t="s">
        <v>32</v>
      </c>
      <c r="D107" s="62" t="s">
        <v>33</v>
      </c>
      <c r="E107" s="53">
        <f>SUM(F107:N107)</f>
        <v>3</v>
      </c>
      <c r="F107" s="63"/>
      <c r="G107" s="63">
        <v>3</v>
      </c>
      <c r="H107" s="63"/>
      <c r="I107" s="63"/>
      <c r="J107" s="63"/>
      <c r="K107" s="63"/>
      <c r="L107" s="63"/>
      <c r="M107" s="63"/>
      <c r="N107" s="63"/>
      <c r="O107" s="64" t="s">
        <v>633</v>
      </c>
      <c r="P107" s="56"/>
      <c r="Q107" s="57"/>
      <c r="R107" s="58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 spans="1:28" ht="14.4" x14ac:dyDescent="0.3">
      <c r="A108" s="50"/>
      <c r="B108" s="61">
        <v>43515</v>
      </c>
      <c r="C108" s="62" t="s">
        <v>86</v>
      </c>
      <c r="D108" s="62" t="s">
        <v>87</v>
      </c>
      <c r="E108" s="53">
        <f>SUM(F108:N108)</f>
        <v>3</v>
      </c>
      <c r="F108" s="63"/>
      <c r="G108" s="63"/>
      <c r="H108" s="63"/>
      <c r="I108" s="63">
        <v>3</v>
      </c>
      <c r="J108" s="63"/>
      <c r="K108" s="63"/>
      <c r="L108" s="63"/>
      <c r="M108" s="63"/>
      <c r="N108" s="63"/>
      <c r="O108" s="64" t="s">
        <v>795</v>
      </c>
      <c r="P108" s="56"/>
      <c r="Q108" s="57"/>
      <c r="R108" s="58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 spans="1:28" ht="14.4" x14ac:dyDescent="0.3">
      <c r="A109" s="50"/>
      <c r="B109" s="61">
        <v>43516</v>
      </c>
      <c r="C109" s="62" t="s">
        <v>17</v>
      </c>
      <c r="D109" s="62" t="s">
        <v>18</v>
      </c>
      <c r="E109" s="53">
        <f>SUM(F109:N109)</f>
        <v>1</v>
      </c>
      <c r="F109" s="63"/>
      <c r="G109" s="63"/>
      <c r="H109" s="63"/>
      <c r="I109" s="63"/>
      <c r="J109" s="63"/>
      <c r="K109" s="63">
        <v>1</v>
      </c>
      <c r="L109" s="63"/>
      <c r="M109" s="63"/>
      <c r="N109" s="63"/>
      <c r="O109" s="64" t="s">
        <v>260</v>
      </c>
      <c r="P109" s="56"/>
      <c r="Q109" s="68" t="s">
        <v>917</v>
      </c>
      <c r="R109" s="58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 spans="1:28" ht="14.4" x14ac:dyDescent="0.3">
      <c r="A110" s="50"/>
      <c r="B110" s="61">
        <v>43516</v>
      </c>
      <c r="C110" s="62" t="s">
        <v>29</v>
      </c>
      <c r="D110" s="62" t="s">
        <v>30</v>
      </c>
      <c r="E110" s="53">
        <f>SUM(F110:N110)</f>
        <v>1</v>
      </c>
      <c r="F110" s="63"/>
      <c r="G110" s="63"/>
      <c r="H110" s="63"/>
      <c r="I110" s="63"/>
      <c r="J110" s="63">
        <v>1</v>
      </c>
      <c r="K110" s="63"/>
      <c r="L110" s="63"/>
      <c r="M110" s="63"/>
      <c r="N110" s="63"/>
      <c r="O110" s="64" t="s">
        <v>710</v>
      </c>
      <c r="P110" s="56"/>
      <c r="Q110" s="57"/>
      <c r="R110" s="58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 spans="1:28" ht="14.4" x14ac:dyDescent="0.3">
      <c r="A111" s="50"/>
      <c r="B111" s="61">
        <v>43516</v>
      </c>
      <c r="C111" s="62" t="s">
        <v>38</v>
      </c>
      <c r="D111" s="62" t="s">
        <v>39</v>
      </c>
      <c r="E111" s="53">
        <f>SUM(F111:N111)</f>
        <v>5</v>
      </c>
      <c r="F111" s="63"/>
      <c r="G111" s="63"/>
      <c r="H111" s="63"/>
      <c r="I111" s="63"/>
      <c r="J111" s="63">
        <v>5</v>
      </c>
      <c r="K111" s="63"/>
      <c r="L111" s="63"/>
      <c r="M111" s="63"/>
      <c r="N111" s="63"/>
      <c r="O111" s="64" t="s">
        <v>495</v>
      </c>
      <c r="P111" s="56"/>
      <c r="Q111" s="57"/>
      <c r="R111" s="58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 spans="1:28" ht="14.4" x14ac:dyDescent="0.3">
      <c r="A112" s="50"/>
      <c r="B112" s="61">
        <v>43516</v>
      </c>
      <c r="C112" s="62" t="s">
        <v>71</v>
      </c>
      <c r="D112" s="62" t="s">
        <v>72</v>
      </c>
      <c r="E112" s="53">
        <f>SUM(F112:N112)</f>
        <v>1</v>
      </c>
      <c r="F112" s="63"/>
      <c r="G112" s="63">
        <v>1</v>
      </c>
      <c r="H112" s="63"/>
      <c r="I112" s="63"/>
      <c r="J112" s="63"/>
      <c r="K112" s="63"/>
      <c r="L112" s="63"/>
      <c r="M112" s="63"/>
      <c r="N112" s="63"/>
      <c r="O112" s="64" t="s">
        <v>611</v>
      </c>
      <c r="P112" s="56"/>
      <c r="Q112" s="57"/>
      <c r="R112" s="58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 ht="14.4" x14ac:dyDescent="0.3">
      <c r="A113" s="50"/>
      <c r="B113" s="61">
        <v>43517</v>
      </c>
      <c r="C113" s="62" t="s">
        <v>38</v>
      </c>
      <c r="D113" s="62" t="s">
        <v>39</v>
      </c>
      <c r="E113" s="53">
        <f>SUM(F113:N113)</f>
        <v>4</v>
      </c>
      <c r="F113" s="63"/>
      <c r="G113" s="63"/>
      <c r="H113" s="63">
        <v>1</v>
      </c>
      <c r="I113" s="63"/>
      <c r="J113" s="63">
        <v>3</v>
      </c>
      <c r="K113" s="63"/>
      <c r="L113" s="63"/>
      <c r="M113" s="63"/>
      <c r="N113" s="63"/>
      <c r="O113" s="64" t="s">
        <v>496</v>
      </c>
      <c r="P113" s="56"/>
      <c r="Q113" s="57"/>
      <c r="R113" s="58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 spans="1:28" ht="14.4" x14ac:dyDescent="0.3">
      <c r="A114" s="50"/>
      <c r="B114" s="61">
        <v>43519</v>
      </c>
      <c r="C114" s="62" t="s">
        <v>65</v>
      </c>
      <c r="D114" s="62" t="s">
        <v>66</v>
      </c>
      <c r="E114" s="53">
        <f>SUM(F114:N114)</f>
        <v>2</v>
      </c>
      <c r="F114" s="63"/>
      <c r="G114" s="63">
        <v>1</v>
      </c>
      <c r="H114" s="63">
        <v>1</v>
      </c>
      <c r="I114" s="63"/>
      <c r="J114" s="63"/>
      <c r="K114" s="63"/>
      <c r="L114" s="63"/>
      <c r="M114" s="63"/>
      <c r="N114" s="63"/>
      <c r="O114" s="64" t="s">
        <v>261</v>
      </c>
      <c r="P114" s="56"/>
      <c r="Q114" s="57"/>
      <c r="R114" s="58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 spans="1:28" ht="14.4" x14ac:dyDescent="0.3">
      <c r="A115" s="50"/>
      <c r="B115" s="61">
        <v>43519</v>
      </c>
      <c r="C115" s="62" t="s">
        <v>50</v>
      </c>
      <c r="D115" s="62" t="s">
        <v>51</v>
      </c>
      <c r="E115" s="53">
        <f>SUM(F115:N115)</f>
        <v>2</v>
      </c>
      <c r="F115" s="63"/>
      <c r="G115" s="63">
        <v>1</v>
      </c>
      <c r="H115" s="63">
        <v>1</v>
      </c>
      <c r="I115" s="63"/>
      <c r="J115" s="63"/>
      <c r="K115" s="63"/>
      <c r="L115" s="63"/>
      <c r="M115" s="63"/>
      <c r="N115" s="63"/>
      <c r="O115" s="64" t="s">
        <v>261</v>
      </c>
      <c r="P115" s="56"/>
      <c r="Q115" s="57"/>
      <c r="R115" s="58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 spans="1:28" ht="14.4" x14ac:dyDescent="0.3">
      <c r="A116" s="50"/>
      <c r="B116" s="61">
        <v>43519</v>
      </c>
      <c r="C116" s="62" t="s">
        <v>160</v>
      </c>
      <c r="D116" s="62" t="s">
        <v>161</v>
      </c>
      <c r="E116" s="53">
        <f>SUM(F116:N116)</f>
        <v>1</v>
      </c>
      <c r="F116" s="63"/>
      <c r="G116" s="63"/>
      <c r="H116" s="63"/>
      <c r="I116" s="63"/>
      <c r="J116" s="63">
        <v>1</v>
      </c>
      <c r="K116" s="63"/>
      <c r="L116" s="63"/>
      <c r="M116" s="63"/>
      <c r="N116" s="63"/>
      <c r="O116" s="64" t="s">
        <v>333</v>
      </c>
      <c r="P116" s="56"/>
      <c r="Q116" s="57"/>
      <c r="R116" s="58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 spans="1:28" ht="14.4" x14ac:dyDescent="0.3">
      <c r="A117" s="50"/>
      <c r="B117" s="61">
        <v>43519</v>
      </c>
      <c r="C117" s="62" t="s">
        <v>32</v>
      </c>
      <c r="D117" s="62" t="s">
        <v>33</v>
      </c>
      <c r="E117" s="53">
        <f>SUM(F117:N117)</f>
        <v>3</v>
      </c>
      <c r="F117" s="63"/>
      <c r="G117" s="63">
        <v>1</v>
      </c>
      <c r="H117" s="63"/>
      <c r="I117" s="63"/>
      <c r="J117" s="63">
        <v>1</v>
      </c>
      <c r="K117" s="63">
        <v>1</v>
      </c>
      <c r="L117" s="63"/>
      <c r="M117" s="63"/>
      <c r="N117" s="63"/>
      <c r="O117" s="64" t="s">
        <v>634</v>
      </c>
      <c r="P117" s="56"/>
      <c r="Q117" s="57"/>
      <c r="R117" s="58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 spans="1:28" ht="14.4" x14ac:dyDescent="0.3">
      <c r="A118" s="50"/>
      <c r="B118" s="61">
        <v>43519</v>
      </c>
      <c r="C118" s="62" t="s">
        <v>86</v>
      </c>
      <c r="D118" s="62" t="s">
        <v>87</v>
      </c>
      <c r="E118" s="53">
        <f>SUM(F118:N118)</f>
        <v>5</v>
      </c>
      <c r="F118" s="63"/>
      <c r="G118" s="63"/>
      <c r="H118" s="63">
        <v>1</v>
      </c>
      <c r="I118" s="63">
        <v>4</v>
      </c>
      <c r="J118" s="63"/>
      <c r="K118" s="63"/>
      <c r="L118" s="63"/>
      <c r="M118" s="63"/>
      <c r="N118" s="63"/>
      <c r="O118" s="64" t="s">
        <v>796</v>
      </c>
      <c r="P118" s="56"/>
      <c r="Q118" s="57"/>
      <c r="R118" s="58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 spans="1:28" ht="14.4" x14ac:dyDescent="0.3">
      <c r="A119" s="50"/>
      <c r="B119" s="61">
        <v>43519</v>
      </c>
      <c r="C119" s="62" t="s">
        <v>86</v>
      </c>
      <c r="D119" s="62" t="s">
        <v>87</v>
      </c>
      <c r="E119" s="53">
        <f>SUM(F119:N119)</f>
        <v>4</v>
      </c>
      <c r="F119" s="63"/>
      <c r="G119" s="63"/>
      <c r="H119" s="63"/>
      <c r="I119" s="63">
        <v>3</v>
      </c>
      <c r="J119" s="63">
        <v>1</v>
      </c>
      <c r="K119" s="63"/>
      <c r="L119" s="63"/>
      <c r="M119" s="63"/>
      <c r="N119" s="63"/>
      <c r="O119" s="64" t="s">
        <v>797</v>
      </c>
      <c r="P119" s="56"/>
      <c r="Q119" s="57"/>
      <c r="R119" s="58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 spans="1:28" ht="14.4" x14ac:dyDescent="0.3">
      <c r="A120" s="50"/>
      <c r="B120" s="61">
        <v>43519</v>
      </c>
      <c r="C120" s="62" t="s">
        <v>35</v>
      </c>
      <c r="D120" s="62" t="s">
        <v>36</v>
      </c>
      <c r="E120" s="53">
        <f>SUM(F120:N120)</f>
        <v>1</v>
      </c>
      <c r="F120" s="63"/>
      <c r="G120" s="63"/>
      <c r="H120" s="63">
        <v>1</v>
      </c>
      <c r="I120" s="63"/>
      <c r="J120" s="63"/>
      <c r="K120" s="63"/>
      <c r="L120" s="63"/>
      <c r="M120" s="63"/>
      <c r="N120" s="63"/>
      <c r="O120" s="64" t="s">
        <v>246</v>
      </c>
      <c r="P120" s="56"/>
      <c r="Q120" s="68" t="s">
        <v>918</v>
      </c>
      <c r="R120" s="58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 spans="1:28" ht="14.4" x14ac:dyDescent="0.3">
      <c r="A121" s="50"/>
      <c r="B121" s="61">
        <v>43519</v>
      </c>
      <c r="C121" s="62" t="s">
        <v>26</v>
      </c>
      <c r="D121" s="62" t="s">
        <v>27</v>
      </c>
      <c r="E121" s="53">
        <f>SUM(F121:N121)</f>
        <v>1</v>
      </c>
      <c r="F121" s="63"/>
      <c r="G121" s="63"/>
      <c r="H121" s="63"/>
      <c r="I121" s="63"/>
      <c r="J121" s="63">
        <v>1</v>
      </c>
      <c r="K121" s="63"/>
      <c r="L121" s="63"/>
      <c r="M121" s="63"/>
      <c r="N121" s="63"/>
      <c r="O121" s="64" t="s">
        <v>527</v>
      </c>
      <c r="P121" s="56"/>
      <c r="Q121" s="57"/>
      <c r="R121" s="58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 spans="1:28" ht="14.4" x14ac:dyDescent="0.3">
      <c r="A122" s="50"/>
      <c r="B122" s="61">
        <v>43519</v>
      </c>
      <c r="C122" s="62" t="s">
        <v>47</v>
      </c>
      <c r="D122" s="62" t="s">
        <v>48</v>
      </c>
      <c r="E122" s="53">
        <f>SUM(F122:N122)</f>
        <v>1</v>
      </c>
      <c r="F122" s="63"/>
      <c r="G122" s="63"/>
      <c r="H122" s="63"/>
      <c r="I122" s="63"/>
      <c r="J122" s="63">
        <v>1</v>
      </c>
      <c r="K122" s="63"/>
      <c r="L122" s="63"/>
      <c r="M122" s="63"/>
      <c r="N122" s="63"/>
      <c r="O122" s="64" t="s">
        <v>334</v>
      </c>
      <c r="P122" s="56"/>
      <c r="Q122" s="57"/>
      <c r="R122" s="58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 spans="1:28" ht="14.4" x14ac:dyDescent="0.3">
      <c r="A123" s="50"/>
      <c r="B123" s="61">
        <v>43519</v>
      </c>
      <c r="C123" s="62" t="s">
        <v>17</v>
      </c>
      <c r="D123" s="62" t="s">
        <v>18</v>
      </c>
      <c r="E123" s="53">
        <f>SUM(F123:N123)</f>
        <v>2</v>
      </c>
      <c r="F123" s="63"/>
      <c r="G123" s="63">
        <v>1</v>
      </c>
      <c r="H123" s="63">
        <v>1</v>
      </c>
      <c r="I123" s="63"/>
      <c r="J123" s="63"/>
      <c r="K123" s="63"/>
      <c r="L123" s="63"/>
      <c r="M123" s="63"/>
      <c r="N123" s="63"/>
      <c r="O123" s="64" t="s">
        <v>261</v>
      </c>
      <c r="P123" s="56"/>
      <c r="Q123" s="57"/>
      <c r="R123" s="58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 spans="1:28" ht="14.4" x14ac:dyDescent="0.3">
      <c r="A124" s="50"/>
      <c r="B124" s="61">
        <v>43519</v>
      </c>
      <c r="C124" s="62" t="s">
        <v>115</v>
      </c>
      <c r="D124" s="62" t="s">
        <v>116</v>
      </c>
      <c r="E124" s="53">
        <f>SUM(F124:N124)</f>
        <v>1</v>
      </c>
      <c r="F124" s="63"/>
      <c r="G124" s="63">
        <v>1</v>
      </c>
      <c r="H124" s="63"/>
      <c r="I124" s="63"/>
      <c r="J124" s="63"/>
      <c r="K124" s="63"/>
      <c r="L124" s="63"/>
      <c r="M124" s="63"/>
      <c r="N124" s="63"/>
      <c r="O124" s="64" t="s">
        <v>204</v>
      </c>
      <c r="P124" s="56"/>
      <c r="Q124" s="57"/>
      <c r="R124" s="58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 spans="1:28" ht="14.4" x14ac:dyDescent="0.3">
      <c r="A125" s="50"/>
      <c r="B125" s="61">
        <v>43520</v>
      </c>
      <c r="C125" s="62" t="s">
        <v>29</v>
      </c>
      <c r="D125" s="62" t="s">
        <v>30</v>
      </c>
      <c r="E125" s="53">
        <f>SUM(F125:N125)</f>
        <v>1</v>
      </c>
      <c r="F125" s="63"/>
      <c r="G125" s="63"/>
      <c r="H125" s="63"/>
      <c r="I125" s="63"/>
      <c r="J125" s="63">
        <v>1</v>
      </c>
      <c r="K125" s="63"/>
      <c r="L125" s="63"/>
      <c r="M125" s="63"/>
      <c r="N125" s="63"/>
      <c r="O125" s="64" t="s">
        <v>413</v>
      </c>
      <c r="P125" s="56"/>
      <c r="Q125" s="57"/>
      <c r="R125" s="58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 spans="1:28" ht="14.4" x14ac:dyDescent="0.3">
      <c r="A126" s="50"/>
      <c r="B126" s="61">
        <v>43520</v>
      </c>
      <c r="C126" s="62" t="s">
        <v>74</v>
      </c>
      <c r="D126" s="62" t="s">
        <v>75</v>
      </c>
      <c r="E126" s="53">
        <f>SUM(F126:N126)</f>
        <v>1</v>
      </c>
      <c r="F126" s="63"/>
      <c r="G126" s="63"/>
      <c r="H126" s="63"/>
      <c r="I126" s="63"/>
      <c r="J126" s="63"/>
      <c r="K126" s="63">
        <v>1</v>
      </c>
      <c r="L126" s="63"/>
      <c r="M126" s="63"/>
      <c r="N126" s="63"/>
      <c r="O126" s="64" t="s">
        <v>596</v>
      </c>
      <c r="P126" s="56"/>
      <c r="Q126" s="57"/>
      <c r="R126" s="58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 spans="1:28" ht="14.4" x14ac:dyDescent="0.3">
      <c r="A127" s="50"/>
      <c r="B127" s="61">
        <v>43520</v>
      </c>
      <c r="C127" s="62" t="s">
        <v>20</v>
      </c>
      <c r="D127" s="62" t="s">
        <v>21</v>
      </c>
      <c r="E127" s="53">
        <f>SUM(F127:N127)</f>
        <v>2</v>
      </c>
      <c r="F127" s="63"/>
      <c r="G127" s="63"/>
      <c r="H127" s="63"/>
      <c r="I127" s="63"/>
      <c r="J127" s="63"/>
      <c r="K127" s="63">
        <v>1</v>
      </c>
      <c r="L127" s="63">
        <v>1</v>
      </c>
      <c r="M127" s="63"/>
      <c r="N127" s="63"/>
      <c r="O127" s="64" t="s">
        <v>406</v>
      </c>
      <c r="P127" s="56"/>
      <c r="Q127" s="57"/>
      <c r="R127" s="58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 spans="1:28" ht="14.4" x14ac:dyDescent="0.3">
      <c r="A128" s="50"/>
      <c r="B128" s="61">
        <v>43520</v>
      </c>
      <c r="C128" s="62" t="s">
        <v>26</v>
      </c>
      <c r="D128" s="62" t="s">
        <v>27</v>
      </c>
      <c r="E128" s="53">
        <f>SUM(F128:N128)</f>
        <v>5</v>
      </c>
      <c r="F128" s="63"/>
      <c r="G128" s="63"/>
      <c r="H128" s="63"/>
      <c r="I128" s="63"/>
      <c r="J128" s="63">
        <v>2</v>
      </c>
      <c r="K128" s="63">
        <v>3</v>
      </c>
      <c r="L128" s="63"/>
      <c r="M128" s="63"/>
      <c r="N128" s="63"/>
      <c r="O128" s="64" t="s">
        <v>528</v>
      </c>
      <c r="P128" s="56"/>
      <c r="Q128" s="57"/>
      <c r="R128" s="58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 spans="1:28" ht="14.4" x14ac:dyDescent="0.3">
      <c r="A129" s="50"/>
      <c r="B129" s="61">
        <v>43520</v>
      </c>
      <c r="C129" s="62" t="s">
        <v>26</v>
      </c>
      <c r="D129" s="62" t="s">
        <v>27</v>
      </c>
      <c r="E129" s="53">
        <f>SUM(F129:N129)</f>
        <v>2</v>
      </c>
      <c r="F129" s="63"/>
      <c r="G129" s="63">
        <v>1</v>
      </c>
      <c r="H129" s="63">
        <v>1</v>
      </c>
      <c r="I129" s="63"/>
      <c r="J129" s="63"/>
      <c r="K129" s="63"/>
      <c r="L129" s="63"/>
      <c r="M129" s="63"/>
      <c r="N129" s="63"/>
      <c r="O129" s="64" t="s">
        <v>529</v>
      </c>
      <c r="P129" s="56"/>
      <c r="Q129" s="57"/>
      <c r="R129" s="58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 spans="1:28" ht="14.4" x14ac:dyDescent="0.3">
      <c r="A130" s="50"/>
      <c r="B130" s="61">
        <v>43520</v>
      </c>
      <c r="C130" s="62" t="s">
        <v>14</v>
      </c>
      <c r="D130" s="62" t="s">
        <v>15</v>
      </c>
      <c r="E130" s="53">
        <f>SUM(F130:N130)</f>
        <v>6</v>
      </c>
      <c r="F130" s="63"/>
      <c r="G130" s="63">
        <v>1</v>
      </c>
      <c r="H130" s="63"/>
      <c r="I130" s="63"/>
      <c r="J130" s="63">
        <v>4</v>
      </c>
      <c r="K130" s="63">
        <v>1</v>
      </c>
      <c r="L130" s="63"/>
      <c r="M130" s="63"/>
      <c r="N130" s="63"/>
      <c r="O130" s="64" t="s">
        <v>812</v>
      </c>
      <c r="P130" s="56"/>
      <c r="Q130" s="57"/>
      <c r="R130" s="58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 spans="1:28" ht="14.4" x14ac:dyDescent="0.3">
      <c r="A131" s="50"/>
      <c r="B131" s="61">
        <v>43521</v>
      </c>
      <c r="C131" s="62" t="s">
        <v>89</v>
      </c>
      <c r="D131" s="62" t="s">
        <v>90</v>
      </c>
      <c r="E131" s="53">
        <f>SUM(F131:N131)</f>
        <v>1</v>
      </c>
      <c r="F131" s="63"/>
      <c r="G131" s="63"/>
      <c r="H131" s="63"/>
      <c r="I131" s="63"/>
      <c r="J131" s="63">
        <v>1</v>
      </c>
      <c r="K131" s="63"/>
      <c r="L131" s="63"/>
      <c r="M131" s="63"/>
      <c r="N131" s="63"/>
      <c r="O131" s="64" t="s">
        <v>677</v>
      </c>
      <c r="P131" s="56"/>
      <c r="Q131" s="57"/>
      <c r="R131" s="58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 spans="1:28" ht="14.4" x14ac:dyDescent="0.3">
      <c r="A132" s="50"/>
      <c r="B132" s="61">
        <v>43522</v>
      </c>
      <c r="C132" s="62" t="s">
        <v>26</v>
      </c>
      <c r="D132" s="62" t="s">
        <v>27</v>
      </c>
      <c r="E132" s="53">
        <f>SUM(F132:N132)</f>
        <v>2</v>
      </c>
      <c r="F132" s="63"/>
      <c r="G132" s="63">
        <v>1</v>
      </c>
      <c r="H132" s="63"/>
      <c r="I132" s="63"/>
      <c r="J132" s="63"/>
      <c r="K132" s="63">
        <v>1</v>
      </c>
      <c r="L132" s="63"/>
      <c r="M132" s="63"/>
      <c r="N132" s="63"/>
      <c r="O132" s="64" t="s">
        <v>530</v>
      </c>
      <c r="P132" s="56"/>
      <c r="Q132" s="57"/>
      <c r="R132" s="58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 spans="1:28" ht="14.4" x14ac:dyDescent="0.3">
      <c r="A133" s="50"/>
      <c r="B133" s="61">
        <v>43522</v>
      </c>
      <c r="C133" s="62" t="s">
        <v>17</v>
      </c>
      <c r="D133" s="62" t="s">
        <v>18</v>
      </c>
      <c r="E133" s="53">
        <f>SUM(F133:N133)</f>
        <v>3</v>
      </c>
      <c r="F133" s="63"/>
      <c r="G133" s="63"/>
      <c r="H133" s="63">
        <v>2</v>
      </c>
      <c r="I133" s="63"/>
      <c r="J133" s="63"/>
      <c r="K133" s="63">
        <v>1</v>
      </c>
      <c r="L133" s="63"/>
      <c r="M133" s="63"/>
      <c r="N133" s="63"/>
      <c r="O133" s="64" t="s">
        <v>262</v>
      </c>
      <c r="P133" s="56"/>
      <c r="Q133" s="68" t="s">
        <v>919</v>
      </c>
      <c r="R133" s="58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 spans="1:28" ht="14.4" x14ac:dyDescent="0.3">
      <c r="A134" s="50"/>
      <c r="B134" s="61">
        <v>43523</v>
      </c>
      <c r="C134" s="62" t="s">
        <v>86</v>
      </c>
      <c r="D134" s="62" t="s">
        <v>87</v>
      </c>
      <c r="E134" s="53">
        <f>SUM(F134:N134)</f>
        <v>4</v>
      </c>
      <c r="F134" s="63"/>
      <c r="G134" s="63">
        <v>1</v>
      </c>
      <c r="H134" s="63"/>
      <c r="I134" s="63"/>
      <c r="J134" s="63">
        <v>3</v>
      </c>
      <c r="K134" s="63"/>
      <c r="L134" s="63"/>
      <c r="M134" s="63"/>
      <c r="N134" s="63"/>
      <c r="O134" s="64" t="s">
        <v>798</v>
      </c>
      <c r="P134" s="56"/>
      <c r="Q134" s="57"/>
      <c r="R134" s="58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 spans="1:28" ht="14.4" x14ac:dyDescent="0.3">
      <c r="A135" s="50"/>
      <c r="B135" s="61">
        <v>43523</v>
      </c>
      <c r="C135" s="62" t="s">
        <v>65</v>
      </c>
      <c r="D135" s="62" t="s">
        <v>66</v>
      </c>
      <c r="E135" s="53">
        <f>SUM(F135:N135)</f>
        <v>1</v>
      </c>
      <c r="F135" s="63">
        <v>1</v>
      </c>
      <c r="G135" s="63"/>
      <c r="H135" s="63"/>
      <c r="I135" s="63"/>
      <c r="J135" s="63"/>
      <c r="K135" s="63"/>
      <c r="L135" s="63"/>
      <c r="M135" s="63"/>
      <c r="N135" s="63"/>
      <c r="O135" s="64" t="s">
        <v>772</v>
      </c>
      <c r="P135" s="56"/>
      <c r="Q135" s="57"/>
      <c r="R135" s="58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 spans="1:28" ht="14.4" x14ac:dyDescent="0.3">
      <c r="A136" s="50"/>
      <c r="B136" s="61">
        <v>43524</v>
      </c>
      <c r="C136" s="62" t="s">
        <v>14</v>
      </c>
      <c r="D136" s="62" t="s">
        <v>15</v>
      </c>
      <c r="E136" s="53">
        <f>SUM(F136:N136)</f>
        <v>4</v>
      </c>
      <c r="F136" s="63"/>
      <c r="G136" s="63"/>
      <c r="H136" s="63"/>
      <c r="I136" s="63"/>
      <c r="J136" s="63">
        <v>1</v>
      </c>
      <c r="K136" s="63">
        <v>3</v>
      </c>
      <c r="L136" s="63"/>
      <c r="M136" s="63"/>
      <c r="N136" s="63"/>
      <c r="O136" s="64" t="s">
        <v>813</v>
      </c>
      <c r="P136" s="56"/>
      <c r="Q136" s="57"/>
      <c r="R136" s="58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 spans="1:28" ht="14.4" x14ac:dyDescent="0.3">
      <c r="A137" s="50"/>
      <c r="B137" s="61">
        <v>43524</v>
      </c>
      <c r="C137" s="62" t="s">
        <v>86</v>
      </c>
      <c r="D137" s="62" t="s">
        <v>87</v>
      </c>
      <c r="E137" s="53">
        <f>SUM(F137:N137)</f>
        <v>1</v>
      </c>
      <c r="F137" s="63"/>
      <c r="G137" s="63"/>
      <c r="H137" s="63"/>
      <c r="I137" s="63"/>
      <c r="J137" s="63">
        <v>1</v>
      </c>
      <c r="K137" s="63"/>
      <c r="L137" s="63"/>
      <c r="M137" s="63"/>
      <c r="N137" s="63"/>
      <c r="O137" s="64" t="s">
        <v>799</v>
      </c>
      <c r="P137" s="56"/>
      <c r="Q137" s="57"/>
      <c r="R137" s="58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 spans="1:28" ht="14.4" x14ac:dyDescent="0.3">
      <c r="A138" s="50"/>
      <c r="B138" s="61">
        <v>43525</v>
      </c>
      <c r="C138" s="62" t="s">
        <v>17</v>
      </c>
      <c r="D138" s="62" t="s">
        <v>18</v>
      </c>
      <c r="E138" s="53">
        <f>SUM(F138:N138)</f>
        <v>3</v>
      </c>
      <c r="F138" s="63"/>
      <c r="G138" s="63">
        <v>1</v>
      </c>
      <c r="H138" s="63"/>
      <c r="I138" s="63"/>
      <c r="J138" s="63">
        <v>2</v>
      </c>
      <c r="K138" s="63"/>
      <c r="L138" s="63"/>
      <c r="M138" s="63"/>
      <c r="N138" s="63"/>
      <c r="O138" s="64" t="s">
        <v>214</v>
      </c>
      <c r="P138" s="56"/>
      <c r="Q138" s="68" t="s">
        <v>920</v>
      </c>
      <c r="R138" s="58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 spans="1:28" ht="14.4" x14ac:dyDescent="0.3">
      <c r="A139" s="50"/>
      <c r="B139" s="61">
        <v>43526</v>
      </c>
      <c r="C139" s="62" t="s">
        <v>68</v>
      </c>
      <c r="D139" s="62" t="s">
        <v>69</v>
      </c>
      <c r="E139" s="53">
        <f>SUM(F139:N139)</f>
        <v>1</v>
      </c>
      <c r="F139" s="63"/>
      <c r="G139" s="63"/>
      <c r="H139" s="63"/>
      <c r="I139" s="63"/>
      <c r="J139" s="63"/>
      <c r="K139" s="63"/>
      <c r="L139" s="63">
        <v>1</v>
      </c>
      <c r="M139" s="63"/>
      <c r="N139" s="63"/>
      <c r="O139" s="64" t="s">
        <v>692</v>
      </c>
      <c r="P139" s="56"/>
      <c r="Q139" s="57"/>
      <c r="R139" s="58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 spans="1:28" ht="14.4" x14ac:dyDescent="0.3">
      <c r="A140" s="50"/>
      <c r="B140" s="61">
        <v>43526</v>
      </c>
      <c r="C140" s="62" t="s">
        <v>44</v>
      </c>
      <c r="D140" s="62" t="s">
        <v>45</v>
      </c>
      <c r="E140" s="53">
        <f>SUM(F140:N140)</f>
        <v>1</v>
      </c>
      <c r="F140" s="63"/>
      <c r="G140" s="63"/>
      <c r="H140" s="63"/>
      <c r="I140" s="63"/>
      <c r="J140" s="63"/>
      <c r="K140" s="63">
        <v>1</v>
      </c>
      <c r="L140" s="63"/>
      <c r="M140" s="63"/>
      <c r="N140" s="63"/>
      <c r="O140" s="64" t="s">
        <v>376</v>
      </c>
      <c r="P140" s="56"/>
      <c r="Q140" s="57"/>
      <c r="R140" s="58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 spans="1:28" ht="14.4" x14ac:dyDescent="0.3">
      <c r="A141" s="50"/>
      <c r="B141" s="61">
        <v>43526</v>
      </c>
      <c r="C141" s="62" t="s">
        <v>17</v>
      </c>
      <c r="D141" s="62" t="s">
        <v>18</v>
      </c>
      <c r="E141" s="53">
        <f>SUM(F141:N141)</f>
        <v>2</v>
      </c>
      <c r="F141" s="63"/>
      <c r="G141" s="63">
        <v>1</v>
      </c>
      <c r="H141" s="63"/>
      <c r="I141" s="63"/>
      <c r="J141" s="63">
        <v>1</v>
      </c>
      <c r="K141" s="63"/>
      <c r="L141" s="63"/>
      <c r="M141" s="63"/>
      <c r="N141" s="63"/>
      <c r="O141" s="64" t="s">
        <v>263</v>
      </c>
      <c r="P141" s="56"/>
      <c r="Q141" s="57"/>
      <c r="R141" s="58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 spans="1:28" ht="14.4" x14ac:dyDescent="0.3">
      <c r="A142" s="50"/>
      <c r="B142" s="61">
        <v>43526</v>
      </c>
      <c r="C142" s="62" t="s">
        <v>26</v>
      </c>
      <c r="D142" s="62" t="s">
        <v>27</v>
      </c>
      <c r="E142" s="53">
        <f>SUM(F142:N142)</f>
        <v>4</v>
      </c>
      <c r="F142" s="63"/>
      <c r="G142" s="63">
        <v>1</v>
      </c>
      <c r="H142" s="63">
        <v>1</v>
      </c>
      <c r="I142" s="63"/>
      <c r="J142" s="63">
        <v>1</v>
      </c>
      <c r="K142" s="63">
        <v>1</v>
      </c>
      <c r="L142" s="63"/>
      <c r="M142" s="63"/>
      <c r="N142" s="63"/>
      <c r="O142" s="64" t="s">
        <v>531</v>
      </c>
      <c r="P142" s="56"/>
      <c r="Q142" s="57"/>
      <c r="R142" s="58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 spans="1:28" ht="14.4" x14ac:dyDescent="0.3">
      <c r="A143" s="50"/>
      <c r="B143" s="61">
        <v>43526</v>
      </c>
      <c r="C143" s="62" t="s">
        <v>14</v>
      </c>
      <c r="D143" s="62" t="s">
        <v>15</v>
      </c>
      <c r="E143" s="53">
        <f>SUM(F143:N143)</f>
        <v>3</v>
      </c>
      <c r="F143" s="63"/>
      <c r="G143" s="63"/>
      <c r="H143" s="63"/>
      <c r="I143" s="63"/>
      <c r="J143" s="63">
        <v>2</v>
      </c>
      <c r="K143" s="63"/>
      <c r="L143" s="63"/>
      <c r="M143" s="63"/>
      <c r="N143" s="63">
        <v>1</v>
      </c>
      <c r="O143" s="64" t="s">
        <v>814</v>
      </c>
      <c r="P143" s="56"/>
      <c r="Q143" s="57"/>
      <c r="R143" s="58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 spans="1:28" ht="14.4" x14ac:dyDescent="0.3">
      <c r="A144" s="50"/>
      <c r="B144" s="61">
        <v>43526</v>
      </c>
      <c r="C144" s="62" t="s">
        <v>38</v>
      </c>
      <c r="D144" s="62" t="s">
        <v>39</v>
      </c>
      <c r="E144" s="53">
        <f>SUM(F144:N144)</f>
        <v>1</v>
      </c>
      <c r="F144" s="63"/>
      <c r="G144" s="63"/>
      <c r="H144" s="63"/>
      <c r="I144" s="63"/>
      <c r="J144" s="63">
        <v>1</v>
      </c>
      <c r="K144" s="63"/>
      <c r="L144" s="63"/>
      <c r="M144" s="63"/>
      <c r="N144" s="63"/>
      <c r="O144" s="64" t="s">
        <v>394</v>
      </c>
      <c r="P144" s="56"/>
      <c r="Q144" s="57"/>
      <c r="R144" s="58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 spans="1:28" ht="14.4" x14ac:dyDescent="0.3">
      <c r="A145" s="50"/>
      <c r="B145" s="61">
        <v>43527</v>
      </c>
      <c r="C145" s="62" t="s">
        <v>74</v>
      </c>
      <c r="D145" s="62" t="s">
        <v>75</v>
      </c>
      <c r="E145" s="53">
        <f>SUM(F145:N145)</f>
        <v>3</v>
      </c>
      <c r="F145" s="63"/>
      <c r="G145" s="63">
        <v>1</v>
      </c>
      <c r="H145" s="63"/>
      <c r="I145" s="63"/>
      <c r="J145" s="63">
        <v>1</v>
      </c>
      <c r="K145" s="63">
        <v>1</v>
      </c>
      <c r="L145" s="63"/>
      <c r="M145" s="63"/>
      <c r="N145" s="63"/>
      <c r="O145" s="64" t="s">
        <v>597</v>
      </c>
      <c r="P145" s="56"/>
      <c r="Q145" s="57"/>
      <c r="R145" s="58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 spans="1:28" ht="14.4" x14ac:dyDescent="0.3">
      <c r="A146" s="50"/>
      <c r="B146" s="61">
        <v>43527</v>
      </c>
      <c r="C146" s="62" t="s">
        <v>68</v>
      </c>
      <c r="D146" s="62" t="s">
        <v>69</v>
      </c>
      <c r="E146" s="53">
        <f>SUM(F146:N146)</f>
        <v>1</v>
      </c>
      <c r="F146" s="63"/>
      <c r="G146" s="63"/>
      <c r="H146" s="63"/>
      <c r="I146" s="63"/>
      <c r="J146" s="63">
        <v>1</v>
      </c>
      <c r="K146" s="63"/>
      <c r="L146" s="63"/>
      <c r="M146" s="63"/>
      <c r="N146" s="63"/>
      <c r="O146" s="64" t="s">
        <v>693</v>
      </c>
      <c r="P146" s="56"/>
      <c r="Q146" s="57"/>
      <c r="R146" s="58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 spans="1:28" ht="14.4" x14ac:dyDescent="0.3">
      <c r="A147" s="50"/>
      <c r="B147" s="61">
        <v>43527</v>
      </c>
      <c r="C147" s="62" t="s">
        <v>38</v>
      </c>
      <c r="D147" s="62" t="s">
        <v>39</v>
      </c>
      <c r="E147" s="53">
        <f>SUM(F147:N147)</f>
        <v>1</v>
      </c>
      <c r="F147" s="63"/>
      <c r="G147" s="63"/>
      <c r="H147" s="63"/>
      <c r="I147" s="63"/>
      <c r="J147" s="63"/>
      <c r="K147" s="63"/>
      <c r="L147" s="63"/>
      <c r="M147" s="63">
        <v>1</v>
      </c>
      <c r="N147" s="63"/>
      <c r="O147" s="64" t="s">
        <v>11</v>
      </c>
      <c r="P147" s="56"/>
      <c r="Q147" s="57"/>
      <c r="R147" s="58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 spans="1:28" ht="14.4" x14ac:dyDescent="0.3">
      <c r="A148" s="50"/>
      <c r="B148" s="61">
        <v>43527</v>
      </c>
      <c r="C148" s="62" t="s">
        <v>17</v>
      </c>
      <c r="D148" s="62" t="s">
        <v>18</v>
      </c>
      <c r="E148" s="53">
        <f>SUM(F148:N148)</f>
        <v>4</v>
      </c>
      <c r="F148" s="63"/>
      <c r="G148" s="63"/>
      <c r="H148" s="63">
        <v>1</v>
      </c>
      <c r="I148" s="63"/>
      <c r="J148" s="63">
        <v>2</v>
      </c>
      <c r="K148" s="63">
        <v>1</v>
      </c>
      <c r="L148" s="63"/>
      <c r="M148" s="63"/>
      <c r="N148" s="63"/>
      <c r="O148" s="64" t="s">
        <v>264</v>
      </c>
      <c r="P148" s="56"/>
      <c r="Q148" s="68" t="s">
        <v>921</v>
      </c>
      <c r="R148" s="58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 spans="1:28" ht="14.4" x14ac:dyDescent="0.3">
      <c r="A149" s="50"/>
      <c r="B149" s="61">
        <v>43527</v>
      </c>
      <c r="C149" s="62" t="s">
        <v>59</v>
      </c>
      <c r="D149" s="62" t="s">
        <v>60</v>
      </c>
      <c r="E149" s="53">
        <f>SUM(F149:N149)</f>
        <v>1</v>
      </c>
      <c r="F149" s="63"/>
      <c r="G149" s="63"/>
      <c r="H149" s="63"/>
      <c r="I149" s="63"/>
      <c r="J149" s="63">
        <v>1</v>
      </c>
      <c r="K149" s="63"/>
      <c r="L149" s="63"/>
      <c r="M149" s="63"/>
      <c r="N149" s="63"/>
      <c r="O149" s="64" t="s">
        <v>230</v>
      </c>
      <c r="P149" s="56"/>
      <c r="Q149" s="57"/>
      <c r="R149" s="58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 spans="1:28" ht="14.4" x14ac:dyDescent="0.3">
      <c r="A150" s="50"/>
      <c r="B150" s="61">
        <v>43527</v>
      </c>
      <c r="C150" s="62" t="s">
        <v>109</v>
      </c>
      <c r="D150" s="62" t="s">
        <v>110</v>
      </c>
      <c r="E150" s="53">
        <f>SUM(F150:N150)</f>
        <v>1</v>
      </c>
      <c r="F150" s="63"/>
      <c r="G150" s="63"/>
      <c r="H150" s="63"/>
      <c r="I150" s="63"/>
      <c r="J150" s="63">
        <v>1</v>
      </c>
      <c r="K150" s="63"/>
      <c r="L150" s="63"/>
      <c r="M150" s="63"/>
      <c r="N150" s="63"/>
      <c r="O150" s="64" t="s">
        <v>334</v>
      </c>
      <c r="P150" s="56"/>
      <c r="Q150" s="57"/>
      <c r="R150" s="58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 spans="1:28" ht="14.4" x14ac:dyDescent="0.3">
      <c r="A151" s="50"/>
      <c r="B151" s="61">
        <v>43527</v>
      </c>
      <c r="C151" s="62" t="s">
        <v>32</v>
      </c>
      <c r="D151" s="62" t="s">
        <v>33</v>
      </c>
      <c r="E151" s="53">
        <f>SUM(F151:N151)</f>
        <v>3</v>
      </c>
      <c r="F151" s="63"/>
      <c r="G151" s="63">
        <v>3</v>
      </c>
      <c r="H151" s="63"/>
      <c r="I151" s="63"/>
      <c r="J151" s="63"/>
      <c r="K151" s="63"/>
      <c r="L151" s="63"/>
      <c r="M151" s="63"/>
      <c r="N151" s="63"/>
      <c r="O151" s="64" t="s">
        <v>635</v>
      </c>
      <c r="P151" s="56"/>
      <c r="Q151" s="57"/>
      <c r="R151" s="58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 spans="1:28" ht="14.4" x14ac:dyDescent="0.3">
      <c r="A152" s="50"/>
      <c r="B152" s="61">
        <v>43527</v>
      </c>
      <c r="C152" s="62" t="s">
        <v>68</v>
      </c>
      <c r="D152" s="62" t="s">
        <v>69</v>
      </c>
      <c r="E152" s="53">
        <f>SUM(F152:N152)</f>
        <v>1</v>
      </c>
      <c r="F152" s="63"/>
      <c r="G152" s="63"/>
      <c r="H152" s="63"/>
      <c r="I152" s="63"/>
      <c r="J152" s="63">
        <v>1</v>
      </c>
      <c r="K152" s="63"/>
      <c r="L152" s="63"/>
      <c r="M152" s="63"/>
      <c r="N152" s="63"/>
      <c r="O152" s="64" t="s">
        <v>694</v>
      </c>
      <c r="P152" s="56"/>
      <c r="Q152" s="57"/>
      <c r="R152" s="58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 spans="1:28" ht="14.4" x14ac:dyDescent="0.3">
      <c r="A153" s="50"/>
      <c r="B153" s="61">
        <v>43527</v>
      </c>
      <c r="C153" s="62" t="s">
        <v>23</v>
      </c>
      <c r="D153" s="62" t="s">
        <v>24</v>
      </c>
      <c r="E153" s="53">
        <f>SUM(F153:N153)</f>
        <v>5</v>
      </c>
      <c r="F153" s="63"/>
      <c r="G153" s="63"/>
      <c r="H153" s="63"/>
      <c r="I153" s="63"/>
      <c r="J153" s="63">
        <v>5</v>
      </c>
      <c r="K153" s="63"/>
      <c r="L153" s="63"/>
      <c r="M153" s="63"/>
      <c r="N153" s="63"/>
      <c r="O153" s="64" t="s">
        <v>862</v>
      </c>
      <c r="P153" s="56"/>
      <c r="Q153" s="57"/>
      <c r="R153" s="58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 spans="1:28" ht="14.4" x14ac:dyDescent="0.3">
      <c r="A154" s="50"/>
      <c r="B154" s="61">
        <v>43527</v>
      </c>
      <c r="C154" s="62" t="s">
        <v>23</v>
      </c>
      <c r="D154" s="62" t="s">
        <v>24</v>
      </c>
      <c r="E154" s="53">
        <f>SUM(F154:N154)</f>
        <v>5</v>
      </c>
      <c r="F154" s="63"/>
      <c r="G154" s="63"/>
      <c r="H154" s="63">
        <v>1</v>
      </c>
      <c r="I154" s="63">
        <v>1</v>
      </c>
      <c r="J154" s="63">
        <v>2</v>
      </c>
      <c r="K154" s="63"/>
      <c r="L154" s="63">
        <v>1</v>
      </c>
      <c r="M154" s="63"/>
      <c r="N154" s="63"/>
      <c r="O154" s="64" t="s">
        <v>863</v>
      </c>
      <c r="P154" s="56"/>
      <c r="Q154" s="57"/>
      <c r="R154" s="58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 spans="1:28" ht="14.4" x14ac:dyDescent="0.3">
      <c r="A155" s="50"/>
      <c r="B155" s="61">
        <v>43527</v>
      </c>
      <c r="C155" s="62" t="s">
        <v>29</v>
      </c>
      <c r="D155" s="62" t="s">
        <v>30</v>
      </c>
      <c r="E155" s="53">
        <f>SUM(F155:N155)</f>
        <v>5</v>
      </c>
      <c r="F155" s="63"/>
      <c r="G155" s="63"/>
      <c r="H155" s="63">
        <v>1</v>
      </c>
      <c r="I155" s="63">
        <v>2</v>
      </c>
      <c r="J155" s="63">
        <v>2</v>
      </c>
      <c r="K155" s="63"/>
      <c r="L155" s="63"/>
      <c r="M155" s="63"/>
      <c r="N155" s="63"/>
      <c r="O155" s="64" t="s">
        <v>711</v>
      </c>
      <c r="P155" s="56"/>
      <c r="Q155" s="57"/>
      <c r="R155" s="58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 spans="1:28" ht="14.4" x14ac:dyDescent="0.3">
      <c r="A156" s="50"/>
      <c r="B156" s="61">
        <v>43527</v>
      </c>
      <c r="C156" s="62" t="s">
        <v>103</v>
      </c>
      <c r="D156" s="62" t="s">
        <v>104</v>
      </c>
      <c r="E156" s="53">
        <f>SUM(F156:N156)</f>
        <v>1</v>
      </c>
      <c r="F156" s="63"/>
      <c r="G156" s="63"/>
      <c r="H156" s="63"/>
      <c r="I156" s="63"/>
      <c r="J156" s="63">
        <v>1</v>
      </c>
      <c r="K156" s="63"/>
      <c r="L156" s="63"/>
      <c r="M156" s="63"/>
      <c r="N156" s="63"/>
      <c r="O156" s="64" t="s">
        <v>394</v>
      </c>
      <c r="P156" s="56"/>
      <c r="Q156" s="57"/>
      <c r="R156" s="58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 spans="1:28" ht="14.4" x14ac:dyDescent="0.3">
      <c r="A157" s="50"/>
      <c r="B157" s="61">
        <v>43528</v>
      </c>
      <c r="C157" s="62" t="s">
        <v>32</v>
      </c>
      <c r="D157" s="62" t="s">
        <v>33</v>
      </c>
      <c r="E157" s="53">
        <f>SUM(F157:N157)</f>
        <v>1</v>
      </c>
      <c r="F157" s="63"/>
      <c r="G157" s="63"/>
      <c r="H157" s="63"/>
      <c r="I157" s="63"/>
      <c r="J157" s="63"/>
      <c r="K157" s="63">
        <v>1</v>
      </c>
      <c r="L157" s="63"/>
      <c r="M157" s="63"/>
      <c r="N157" s="63"/>
      <c r="O157" s="64" t="s">
        <v>636</v>
      </c>
      <c r="P157" s="56"/>
      <c r="Q157" s="57"/>
      <c r="R157" s="58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 spans="1:28" ht="14.4" x14ac:dyDescent="0.3">
      <c r="A158" s="50"/>
      <c r="B158" s="61">
        <v>43528</v>
      </c>
      <c r="C158" s="62" t="s">
        <v>47</v>
      </c>
      <c r="D158" s="62" t="s">
        <v>48</v>
      </c>
      <c r="E158" s="53">
        <f>SUM(F158:N158)</f>
        <v>1</v>
      </c>
      <c r="F158" s="63"/>
      <c r="G158" s="63"/>
      <c r="H158" s="63"/>
      <c r="I158" s="63"/>
      <c r="J158" s="63"/>
      <c r="K158" s="63">
        <v>1</v>
      </c>
      <c r="L158" s="63"/>
      <c r="M158" s="63"/>
      <c r="N158" s="63"/>
      <c r="O158" s="64" t="s">
        <v>335</v>
      </c>
      <c r="P158" s="56"/>
      <c r="Q158" s="57"/>
      <c r="R158" s="58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 spans="1:28" ht="14.4" x14ac:dyDescent="0.3">
      <c r="A159" s="50"/>
      <c r="B159" s="61">
        <v>43529</v>
      </c>
      <c r="C159" s="62" t="s">
        <v>89</v>
      </c>
      <c r="D159" s="62" t="s">
        <v>90</v>
      </c>
      <c r="E159" s="53">
        <f>SUM(F159:N159)</f>
        <v>1</v>
      </c>
      <c r="F159" s="63"/>
      <c r="G159" s="63"/>
      <c r="H159" s="63"/>
      <c r="I159" s="63"/>
      <c r="J159" s="63"/>
      <c r="K159" s="63"/>
      <c r="L159" s="63">
        <v>1</v>
      </c>
      <c r="M159" s="63"/>
      <c r="N159" s="63"/>
      <c r="O159" s="64" t="s">
        <v>678</v>
      </c>
      <c r="P159" s="56"/>
      <c r="Q159" s="57"/>
      <c r="R159" s="58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 spans="1:28" ht="14.4" x14ac:dyDescent="0.3">
      <c r="A160" s="50"/>
      <c r="B160" s="61">
        <v>43529</v>
      </c>
      <c r="C160" s="62" t="s">
        <v>47</v>
      </c>
      <c r="D160" s="62" t="s">
        <v>48</v>
      </c>
      <c r="E160" s="53">
        <f>SUM(F160:N160)</f>
        <v>1</v>
      </c>
      <c r="F160" s="63"/>
      <c r="G160" s="63"/>
      <c r="H160" s="63"/>
      <c r="I160" s="63"/>
      <c r="J160" s="63">
        <v>1</v>
      </c>
      <c r="K160" s="63"/>
      <c r="L160" s="63"/>
      <c r="M160" s="63"/>
      <c r="N160" s="63"/>
      <c r="O160" s="64" t="s">
        <v>336</v>
      </c>
      <c r="P160" s="56"/>
      <c r="Q160" s="57"/>
      <c r="R160" s="58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 spans="1:28" ht="14.4" x14ac:dyDescent="0.3">
      <c r="A161" s="50"/>
      <c r="B161" s="61">
        <v>43530</v>
      </c>
      <c r="C161" s="62" t="s">
        <v>14</v>
      </c>
      <c r="D161" s="62" t="s">
        <v>15</v>
      </c>
      <c r="E161" s="53">
        <f>SUM(F161:N161)</f>
        <v>5</v>
      </c>
      <c r="F161" s="63"/>
      <c r="G161" s="63"/>
      <c r="H161" s="63"/>
      <c r="I161" s="63"/>
      <c r="J161" s="63"/>
      <c r="K161" s="63">
        <v>3</v>
      </c>
      <c r="L161" s="63">
        <v>2</v>
      </c>
      <c r="M161" s="63"/>
      <c r="N161" s="63"/>
      <c r="O161" s="64" t="s">
        <v>815</v>
      </c>
      <c r="P161" s="56"/>
      <c r="Q161" s="57"/>
      <c r="R161" s="58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 spans="1:28" ht="14.4" x14ac:dyDescent="0.3">
      <c r="A162" s="50"/>
      <c r="B162" s="61">
        <v>43531</v>
      </c>
      <c r="C162" s="62" t="s">
        <v>68</v>
      </c>
      <c r="D162" s="62" t="s">
        <v>69</v>
      </c>
      <c r="E162" s="53">
        <f>SUM(F162:N162)</f>
        <v>1</v>
      </c>
      <c r="F162" s="63"/>
      <c r="G162" s="63">
        <v>1</v>
      </c>
      <c r="H162" s="63"/>
      <c r="I162" s="63"/>
      <c r="J162" s="63"/>
      <c r="K162" s="63"/>
      <c r="L162" s="63"/>
      <c r="M162" s="63"/>
      <c r="N162" s="63"/>
      <c r="O162" s="64" t="s">
        <v>695</v>
      </c>
      <c r="P162" s="56"/>
      <c r="Q162" s="57"/>
      <c r="R162" s="58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 spans="1:28" ht="14.4" x14ac:dyDescent="0.3">
      <c r="A163" s="50"/>
      <c r="B163" s="61">
        <v>43531</v>
      </c>
      <c r="C163" s="62" t="s">
        <v>32</v>
      </c>
      <c r="D163" s="62" t="s">
        <v>33</v>
      </c>
      <c r="E163" s="53">
        <f>SUM(F163:N163)</f>
        <v>2</v>
      </c>
      <c r="F163" s="63"/>
      <c r="G163" s="63"/>
      <c r="H163" s="63"/>
      <c r="I163" s="63"/>
      <c r="J163" s="63">
        <v>2</v>
      </c>
      <c r="K163" s="63"/>
      <c r="L163" s="63"/>
      <c r="M163" s="63"/>
      <c r="N163" s="63"/>
      <c r="O163" s="64" t="s">
        <v>637</v>
      </c>
      <c r="P163" s="56"/>
      <c r="Q163" s="57"/>
      <c r="R163" s="58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 spans="1:28" ht="14.4" x14ac:dyDescent="0.3">
      <c r="A164" s="50"/>
      <c r="B164" s="61">
        <v>43533</v>
      </c>
      <c r="C164" s="62" t="s">
        <v>17</v>
      </c>
      <c r="D164" s="62" t="s">
        <v>18</v>
      </c>
      <c r="E164" s="53">
        <f>SUM(F164:N164)</f>
        <v>4</v>
      </c>
      <c r="F164" s="63"/>
      <c r="G164" s="63">
        <v>2</v>
      </c>
      <c r="H164" s="63">
        <v>1</v>
      </c>
      <c r="I164" s="63"/>
      <c r="J164" s="63">
        <v>1</v>
      </c>
      <c r="K164" s="63"/>
      <c r="L164" s="63"/>
      <c r="M164" s="63"/>
      <c r="N164" s="63"/>
      <c r="O164" s="64" t="s">
        <v>209</v>
      </c>
      <c r="P164" s="56"/>
      <c r="Q164" s="68" t="s">
        <v>922</v>
      </c>
      <c r="R164" s="58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 spans="1:28" ht="14.4" x14ac:dyDescent="0.3">
      <c r="A165" s="50"/>
      <c r="B165" s="61">
        <v>43533</v>
      </c>
      <c r="C165" s="62" t="s">
        <v>127</v>
      </c>
      <c r="D165" s="62" t="s">
        <v>128</v>
      </c>
      <c r="E165" s="53">
        <f>SUM(F165:N165)</f>
        <v>4</v>
      </c>
      <c r="F165" s="63"/>
      <c r="G165" s="63">
        <v>2</v>
      </c>
      <c r="H165" s="63">
        <v>1</v>
      </c>
      <c r="I165" s="63"/>
      <c r="J165" s="63">
        <v>1</v>
      </c>
      <c r="K165" s="63"/>
      <c r="L165" s="63"/>
      <c r="M165" s="63"/>
      <c r="N165" s="63"/>
      <c r="O165" s="64" t="s">
        <v>209</v>
      </c>
      <c r="P165" s="56"/>
      <c r="Q165" s="57"/>
      <c r="R165" s="58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 spans="1:28" ht="14.4" x14ac:dyDescent="0.3">
      <c r="A166" s="50"/>
      <c r="B166" s="61">
        <v>43533</v>
      </c>
      <c r="C166" s="62" t="s">
        <v>26</v>
      </c>
      <c r="D166" s="62" t="s">
        <v>27</v>
      </c>
      <c r="E166" s="53">
        <f>SUM(F166:N166)</f>
        <v>1</v>
      </c>
      <c r="F166" s="63"/>
      <c r="G166" s="63"/>
      <c r="H166" s="63"/>
      <c r="I166" s="63"/>
      <c r="J166" s="63">
        <v>1</v>
      </c>
      <c r="K166" s="63"/>
      <c r="L166" s="63"/>
      <c r="M166" s="63"/>
      <c r="N166" s="63"/>
      <c r="O166" s="64" t="s">
        <v>532</v>
      </c>
      <c r="P166" s="56"/>
      <c r="Q166" s="57"/>
      <c r="R166" s="58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 spans="1:28" ht="14.4" x14ac:dyDescent="0.3">
      <c r="A167" s="50"/>
      <c r="B167" s="61">
        <v>43533</v>
      </c>
      <c r="C167" s="62" t="s">
        <v>35</v>
      </c>
      <c r="D167" s="62" t="s">
        <v>36</v>
      </c>
      <c r="E167" s="53">
        <f>SUM(F167:N167)</f>
        <v>2</v>
      </c>
      <c r="F167" s="63"/>
      <c r="G167" s="63"/>
      <c r="H167" s="63"/>
      <c r="I167" s="63"/>
      <c r="J167" s="63">
        <v>1</v>
      </c>
      <c r="K167" s="63">
        <v>1</v>
      </c>
      <c r="L167" s="63"/>
      <c r="M167" s="63"/>
      <c r="N167" s="63"/>
      <c r="O167" s="64" t="s">
        <v>469</v>
      </c>
      <c r="P167" s="56"/>
      <c r="Q167" s="68" t="s">
        <v>923</v>
      </c>
      <c r="R167" s="58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 spans="1:28" ht="14.4" x14ac:dyDescent="0.3">
      <c r="A168" s="50"/>
      <c r="B168" s="61">
        <v>43533</v>
      </c>
      <c r="C168" s="62" t="s">
        <v>20</v>
      </c>
      <c r="D168" s="62" t="s">
        <v>21</v>
      </c>
      <c r="E168" s="53">
        <f>SUM(F168:N168)</f>
        <v>3</v>
      </c>
      <c r="F168" s="63"/>
      <c r="G168" s="63"/>
      <c r="H168" s="63"/>
      <c r="I168" s="63"/>
      <c r="J168" s="63">
        <v>2</v>
      </c>
      <c r="K168" s="63"/>
      <c r="L168" s="63">
        <v>1</v>
      </c>
      <c r="M168" s="63"/>
      <c r="N168" s="63"/>
      <c r="O168" s="64" t="s">
        <v>407</v>
      </c>
      <c r="P168" s="56"/>
      <c r="Q168" s="57"/>
      <c r="R168" s="58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 spans="1:28" ht="14.4" x14ac:dyDescent="0.3">
      <c r="A169" s="50"/>
      <c r="B169" s="61">
        <v>43533</v>
      </c>
      <c r="C169" s="62" t="s">
        <v>59</v>
      </c>
      <c r="D169" s="62" t="s">
        <v>60</v>
      </c>
      <c r="E169" s="53">
        <f>SUM(F169:N169)</f>
        <v>3</v>
      </c>
      <c r="F169" s="63"/>
      <c r="G169" s="63"/>
      <c r="H169" s="63"/>
      <c r="I169" s="63"/>
      <c r="J169" s="63">
        <v>1</v>
      </c>
      <c r="K169" s="63">
        <v>2</v>
      </c>
      <c r="L169" s="63"/>
      <c r="M169" s="63"/>
      <c r="N169" s="63"/>
      <c r="O169" s="64" t="s">
        <v>231</v>
      </c>
      <c r="P169" s="56"/>
      <c r="Q169" s="57"/>
      <c r="R169" s="58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 spans="1:28" ht="14.4" x14ac:dyDescent="0.3">
      <c r="A170" s="50"/>
      <c r="B170" s="61">
        <v>43533</v>
      </c>
      <c r="C170" s="62" t="s">
        <v>29</v>
      </c>
      <c r="D170" s="62" t="s">
        <v>30</v>
      </c>
      <c r="E170" s="53">
        <f>SUM(F170:N170)</f>
        <v>3</v>
      </c>
      <c r="F170" s="63"/>
      <c r="G170" s="63"/>
      <c r="H170" s="63"/>
      <c r="I170" s="63"/>
      <c r="J170" s="63">
        <v>1</v>
      </c>
      <c r="K170" s="63">
        <v>2</v>
      </c>
      <c r="L170" s="63"/>
      <c r="M170" s="63"/>
      <c r="N170" s="63"/>
      <c r="O170" s="64" t="s">
        <v>712</v>
      </c>
      <c r="P170" s="56"/>
      <c r="Q170" s="57"/>
      <c r="R170" s="58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 spans="1:28" ht="14.4" x14ac:dyDescent="0.3">
      <c r="A171" s="50"/>
      <c r="B171" s="61">
        <v>43533</v>
      </c>
      <c r="C171" s="62" t="s">
        <v>38</v>
      </c>
      <c r="D171" s="62" t="s">
        <v>39</v>
      </c>
      <c r="E171" s="53">
        <f>SUM(F171:N171)</f>
        <v>3</v>
      </c>
      <c r="F171" s="63"/>
      <c r="G171" s="63"/>
      <c r="H171" s="63"/>
      <c r="I171" s="63"/>
      <c r="J171" s="63">
        <v>2</v>
      </c>
      <c r="K171" s="63">
        <v>1</v>
      </c>
      <c r="L171" s="63"/>
      <c r="M171" s="63"/>
      <c r="N171" s="63"/>
      <c r="O171" s="64" t="s">
        <v>497</v>
      </c>
      <c r="P171" s="56"/>
      <c r="Q171" s="57"/>
      <c r="R171" s="58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 spans="1:28" ht="14.4" x14ac:dyDescent="0.3">
      <c r="A172" s="50"/>
      <c r="B172" s="61">
        <v>43533</v>
      </c>
      <c r="C172" s="62" t="s">
        <v>14</v>
      </c>
      <c r="D172" s="62" t="s">
        <v>15</v>
      </c>
      <c r="E172" s="53">
        <f>SUM(F172:N172)</f>
        <v>2</v>
      </c>
      <c r="F172" s="63"/>
      <c r="G172" s="63"/>
      <c r="H172" s="63"/>
      <c r="I172" s="63"/>
      <c r="J172" s="63">
        <v>1</v>
      </c>
      <c r="K172" s="63">
        <v>1</v>
      </c>
      <c r="L172" s="63"/>
      <c r="M172" s="63"/>
      <c r="N172" s="63"/>
      <c r="O172" s="64" t="s">
        <v>816</v>
      </c>
      <c r="P172" s="56"/>
      <c r="Q172" s="57"/>
      <c r="R172" s="58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 spans="1:28" ht="14.4" x14ac:dyDescent="0.3">
      <c r="A173" s="50"/>
      <c r="B173" s="61">
        <v>43533</v>
      </c>
      <c r="C173" s="62" t="s">
        <v>92</v>
      </c>
      <c r="D173" s="62" t="s">
        <v>69</v>
      </c>
      <c r="E173" s="53">
        <f>SUM(F173:N173)</f>
        <v>5</v>
      </c>
      <c r="F173" s="63"/>
      <c r="G173" s="63">
        <v>2</v>
      </c>
      <c r="H173" s="63"/>
      <c r="I173" s="63"/>
      <c r="J173" s="63">
        <v>2</v>
      </c>
      <c r="K173" s="63"/>
      <c r="L173" s="63"/>
      <c r="M173" s="63">
        <v>1</v>
      </c>
      <c r="N173" s="63"/>
      <c r="O173" s="64" t="s">
        <v>768</v>
      </c>
      <c r="P173" s="56"/>
      <c r="Q173" s="57"/>
      <c r="R173" s="58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 spans="1:28" ht="14.4" x14ac:dyDescent="0.3">
      <c r="A174" s="50"/>
      <c r="B174" s="61">
        <v>43533</v>
      </c>
      <c r="C174" s="62" t="s">
        <v>109</v>
      </c>
      <c r="D174" s="62" t="s">
        <v>110</v>
      </c>
      <c r="E174" s="53">
        <f>SUM(F174:N174)</f>
        <v>1</v>
      </c>
      <c r="F174" s="63"/>
      <c r="G174" s="63"/>
      <c r="H174" s="63"/>
      <c r="I174" s="63"/>
      <c r="J174" s="63"/>
      <c r="K174" s="63">
        <v>1</v>
      </c>
      <c r="L174" s="63"/>
      <c r="M174" s="63"/>
      <c r="N174" s="63"/>
      <c r="O174" s="64" t="s">
        <v>609</v>
      </c>
      <c r="P174" s="56"/>
      <c r="Q174" s="57"/>
      <c r="R174" s="58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 spans="1:28" ht="14.4" x14ac:dyDescent="0.3">
      <c r="A175" s="50"/>
      <c r="B175" s="61">
        <v>43534</v>
      </c>
      <c r="C175" s="62" t="s">
        <v>17</v>
      </c>
      <c r="D175" s="62" t="s">
        <v>18</v>
      </c>
      <c r="E175" s="53">
        <f>SUM(F175:N175)</f>
        <v>2</v>
      </c>
      <c r="F175" s="63"/>
      <c r="G175" s="63"/>
      <c r="H175" s="63"/>
      <c r="I175" s="63"/>
      <c r="J175" s="63">
        <v>2</v>
      </c>
      <c r="K175" s="63"/>
      <c r="L175" s="63"/>
      <c r="M175" s="63"/>
      <c r="N175" s="63"/>
      <c r="O175" s="64" t="s">
        <v>265</v>
      </c>
      <c r="P175" s="56"/>
      <c r="Q175" s="57"/>
      <c r="R175" s="58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 spans="1:28" ht="14.4" x14ac:dyDescent="0.3">
      <c r="A176" s="50"/>
      <c r="B176" s="61">
        <v>43536</v>
      </c>
      <c r="C176" s="62" t="s">
        <v>65</v>
      </c>
      <c r="D176" s="62" t="s">
        <v>66</v>
      </c>
      <c r="E176" s="53">
        <f>SUM(F176:N176)</f>
        <v>2</v>
      </c>
      <c r="F176" s="63"/>
      <c r="G176" s="63"/>
      <c r="H176" s="63">
        <v>1</v>
      </c>
      <c r="I176" s="63"/>
      <c r="J176" s="63">
        <v>1</v>
      </c>
      <c r="K176" s="63"/>
      <c r="L176" s="63"/>
      <c r="M176" s="63"/>
      <c r="N176" s="63"/>
      <c r="O176" s="64" t="s">
        <v>773</v>
      </c>
      <c r="P176" s="56"/>
      <c r="Q176" s="57"/>
      <c r="R176" s="58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 spans="1:28" ht="14.4" x14ac:dyDescent="0.3">
      <c r="A177" s="50"/>
      <c r="B177" s="61">
        <v>43539</v>
      </c>
      <c r="C177" s="62" t="s">
        <v>32</v>
      </c>
      <c r="D177" s="62" t="s">
        <v>33</v>
      </c>
      <c r="E177" s="53">
        <f>SUM(F177:N177)</f>
        <v>3</v>
      </c>
      <c r="F177" s="63"/>
      <c r="G177" s="63">
        <v>1</v>
      </c>
      <c r="H177" s="63"/>
      <c r="I177" s="63"/>
      <c r="J177" s="63">
        <v>2</v>
      </c>
      <c r="K177" s="63"/>
      <c r="L177" s="63"/>
      <c r="M177" s="63"/>
      <c r="N177" s="63"/>
      <c r="O177" s="64" t="s">
        <v>638</v>
      </c>
      <c r="P177" s="56"/>
      <c r="Q177" s="57"/>
      <c r="R177" s="58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 spans="1:28" ht="14.4" x14ac:dyDescent="0.3">
      <c r="A178" s="50"/>
      <c r="B178" s="61">
        <v>43539</v>
      </c>
      <c r="C178" s="62" t="s">
        <v>17</v>
      </c>
      <c r="D178" s="62" t="s">
        <v>18</v>
      </c>
      <c r="E178" s="53">
        <f>SUM(F178:N178)</f>
        <v>3</v>
      </c>
      <c r="F178" s="63"/>
      <c r="G178" s="63">
        <v>1</v>
      </c>
      <c r="H178" s="63"/>
      <c r="I178" s="63"/>
      <c r="J178" s="63">
        <v>1</v>
      </c>
      <c r="K178" s="63">
        <v>1</v>
      </c>
      <c r="L178" s="63"/>
      <c r="M178" s="63"/>
      <c r="N178" s="63"/>
      <c r="O178" s="64" t="s">
        <v>266</v>
      </c>
      <c r="P178" s="56"/>
      <c r="Q178" s="68" t="s">
        <v>924</v>
      </c>
      <c r="R178" s="58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 spans="1:28" ht="14.4" x14ac:dyDescent="0.3">
      <c r="A179" s="50"/>
      <c r="B179" s="61">
        <v>43540</v>
      </c>
      <c r="C179" s="62" t="s">
        <v>68</v>
      </c>
      <c r="D179" s="62" t="s">
        <v>69</v>
      </c>
      <c r="E179" s="53">
        <f>SUM(F179:N179)</f>
        <v>1</v>
      </c>
      <c r="F179" s="63"/>
      <c r="G179" s="63"/>
      <c r="H179" s="63">
        <v>1</v>
      </c>
      <c r="I179" s="63"/>
      <c r="J179" s="63"/>
      <c r="K179" s="63"/>
      <c r="L179" s="63"/>
      <c r="M179" s="63"/>
      <c r="N179" s="63"/>
      <c r="O179" s="64" t="s">
        <v>696</v>
      </c>
      <c r="P179" s="56"/>
      <c r="Q179" s="57"/>
      <c r="R179" s="58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 spans="1:28" ht="14.4" x14ac:dyDescent="0.3">
      <c r="A180" s="50"/>
      <c r="B180" s="61">
        <v>43540</v>
      </c>
      <c r="C180" s="62" t="s">
        <v>77</v>
      </c>
      <c r="D180" s="62" t="s">
        <v>78</v>
      </c>
      <c r="E180" s="53">
        <f>SUM(F180:N180)</f>
        <v>1</v>
      </c>
      <c r="F180" s="63"/>
      <c r="G180" s="63"/>
      <c r="H180" s="63">
        <v>1</v>
      </c>
      <c r="I180" s="63"/>
      <c r="J180" s="63"/>
      <c r="K180" s="63"/>
      <c r="L180" s="63"/>
      <c r="M180" s="63"/>
      <c r="N180" s="63"/>
      <c r="O180" s="64" t="s">
        <v>683</v>
      </c>
      <c r="P180" s="56"/>
      <c r="Q180" s="57"/>
      <c r="R180" s="58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 spans="1:28" ht="14.4" x14ac:dyDescent="0.3">
      <c r="A181" s="50"/>
      <c r="B181" s="61">
        <v>43540</v>
      </c>
      <c r="C181" s="62" t="s">
        <v>14</v>
      </c>
      <c r="D181" s="62" t="s">
        <v>15</v>
      </c>
      <c r="E181" s="53">
        <f>SUM(F181:N181)</f>
        <v>1</v>
      </c>
      <c r="F181" s="63"/>
      <c r="G181" s="63"/>
      <c r="H181" s="63"/>
      <c r="I181" s="63"/>
      <c r="J181" s="63"/>
      <c r="K181" s="63">
        <v>1</v>
      </c>
      <c r="L181" s="63"/>
      <c r="M181" s="63"/>
      <c r="N181" s="63"/>
      <c r="O181" s="64" t="s">
        <v>356</v>
      </c>
      <c r="P181" s="56"/>
      <c r="Q181" s="57"/>
      <c r="R181" s="58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 spans="1:28" ht="14.4" x14ac:dyDescent="0.3">
      <c r="A182" s="50"/>
      <c r="B182" s="61">
        <v>43540</v>
      </c>
      <c r="C182" s="62" t="s">
        <v>112</v>
      </c>
      <c r="D182" s="62" t="s">
        <v>113</v>
      </c>
      <c r="E182" s="53">
        <f>SUM(F182:N182)</f>
        <v>2</v>
      </c>
      <c r="F182" s="63"/>
      <c r="G182" s="63"/>
      <c r="H182" s="63"/>
      <c r="I182" s="63"/>
      <c r="J182" s="63">
        <v>1</v>
      </c>
      <c r="K182" s="63"/>
      <c r="L182" s="63"/>
      <c r="M182" s="63"/>
      <c r="N182" s="63">
        <v>1</v>
      </c>
      <c r="O182" s="64" t="s">
        <v>224</v>
      </c>
      <c r="P182" s="56"/>
      <c r="Q182" s="57"/>
      <c r="R182" s="58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 spans="1:28" ht="14.4" x14ac:dyDescent="0.3">
      <c r="A183" s="50"/>
      <c r="B183" s="61">
        <v>43540</v>
      </c>
      <c r="C183" s="62" t="s">
        <v>20</v>
      </c>
      <c r="D183" s="62" t="s">
        <v>21</v>
      </c>
      <c r="E183" s="53">
        <f>SUM(F183:N183)</f>
        <v>2</v>
      </c>
      <c r="F183" s="63"/>
      <c r="G183" s="63"/>
      <c r="H183" s="63"/>
      <c r="I183" s="63"/>
      <c r="J183" s="63">
        <v>1</v>
      </c>
      <c r="K183" s="63">
        <v>1</v>
      </c>
      <c r="L183" s="63"/>
      <c r="M183" s="63"/>
      <c r="N183" s="63"/>
      <c r="O183" s="64" t="s">
        <v>408</v>
      </c>
      <c r="P183" s="56"/>
      <c r="Q183" s="57"/>
      <c r="R183" s="58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 spans="1:28" ht="14.4" x14ac:dyDescent="0.3">
      <c r="A184" s="50"/>
      <c r="B184" s="61">
        <v>43540</v>
      </c>
      <c r="C184" s="62" t="s">
        <v>53</v>
      </c>
      <c r="D184" s="62" t="s">
        <v>54</v>
      </c>
      <c r="E184" s="53">
        <f>SUM(F184:N184)</f>
        <v>1</v>
      </c>
      <c r="F184" s="63"/>
      <c r="G184" s="63"/>
      <c r="H184" s="63"/>
      <c r="I184" s="63"/>
      <c r="J184" s="63"/>
      <c r="K184" s="63">
        <v>1</v>
      </c>
      <c r="L184" s="63"/>
      <c r="M184" s="63"/>
      <c r="N184" s="63"/>
      <c r="O184" s="64" t="s">
        <v>356</v>
      </c>
      <c r="P184" s="56"/>
      <c r="Q184" s="57"/>
      <c r="R184" s="58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 spans="1:28" ht="14.4" x14ac:dyDescent="0.3">
      <c r="A185" s="50"/>
      <c r="B185" s="61">
        <v>43541</v>
      </c>
      <c r="C185" s="62" t="s">
        <v>17</v>
      </c>
      <c r="D185" s="62" t="s">
        <v>18</v>
      </c>
      <c r="E185" s="53">
        <f>SUM(F185:N185)</f>
        <v>1</v>
      </c>
      <c r="F185" s="63"/>
      <c r="G185" s="63"/>
      <c r="H185" s="63">
        <v>1</v>
      </c>
      <c r="I185" s="63"/>
      <c r="J185" s="63"/>
      <c r="K185" s="63"/>
      <c r="L185" s="63"/>
      <c r="M185" s="63"/>
      <c r="N185" s="63"/>
      <c r="O185" s="64" t="s">
        <v>267</v>
      </c>
      <c r="P185" s="56"/>
      <c r="Q185" s="68" t="s">
        <v>925</v>
      </c>
      <c r="R185" s="58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 spans="1:28" ht="14.4" x14ac:dyDescent="0.3">
      <c r="A186" s="50"/>
      <c r="B186" s="61">
        <v>43541</v>
      </c>
      <c r="C186" s="62" t="s">
        <v>68</v>
      </c>
      <c r="D186" s="62" t="s">
        <v>69</v>
      </c>
      <c r="E186" s="53">
        <f>SUM(F186:N186)</f>
        <v>2</v>
      </c>
      <c r="F186" s="63"/>
      <c r="G186" s="63"/>
      <c r="H186" s="63"/>
      <c r="I186" s="63"/>
      <c r="J186" s="63">
        <v>1</v>
      </c>
      <c r="K186" s="63"/>
      <c r="L186" s="63"/>
      <c r="M186" s="63"/>
      <c r="N186" s="63">
        <v>1</v>
      </c>
      <c r="O186" s="64" t="s">
        <v>224</v>
      </c>
      <c r="P186" s="56"/>
      <c r="Q186" s="57"/>
      <c r="R186" s="58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 spans="1:28" ht="14.4" x14ac:dyDescent="0.3">
      <c r="A187" s="50"/>
      <c r="B187" s="61">
        <v>43541</v>
      </c>
      <c r="C187" s="62" t="s">
        <v>41</v>
      </c>
      <c r="D187" s="62" t="s">
        <v>42</v>
      </c>
      <c r="E187" s="53">
        <f>SUM(F187:N187)</f>
        <v>3</v>
      </c>
      <c r="F187" s="63"/>
      <c r="G187" s="63"/>
      <c r="H187" s="63"/>
      <c r="I187" s="63"/>
      <c r="J187" s="63">
        <v>1</v>
      </c>
      <c r="K187" s="63">
        <v>2</v>
      </c>
      <c r="L187" s="63"/>
      <c r="M187" s="63"/>
      <c r="N187" s="63"/>
      <c r="O187" s="64" t="s">
        <v>567</v>
      </c>
      <c r="P187" s="56"/>
      <c r="Q187" s="57"/>
      <c r="R187" s="58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 spans="1:28" ht="14.4" x14ac:dyDescent="0.3">
      <c r="A188" s="50"/>
      <c r="B188" s="61">
        <v>43541</v>
      </c>
      <c r="C188" s="62" t="s">
        <v>32</v>
      </c>
      <c r="D188" s="62" t="s">
        <v>33</v>
      </c>
      <c r="E188" s="53">
        <f>SUM(F188:N188)</f>
        <v>1</v>
      </c>
      <c r="F188" s="63"/>
      <c r="G188" s="63"/>
      <c r="H188" s="63">
        <v>1</v>
      </c>
      <c r="I188" s="63"/>
      <c r="J188" s="63"/>
      <c r="K188" s="63"/>
      <c r="L188" s="63"/>
      <c r="M188" s="63"/>
      <c r="N188" s="63"/>
      <c r="O188" s="64" t="s">
        <v>499</v>
      </c>
      <c r="P188" s="56"/>
      <c r="Q188" s="57"/>
      <c r="R188" s="58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 spans="1:28" ht="14.4" x14ac:dyDescent="0.3">
      <c r="A189" s="50"/>
      <c r="B189" s="61">
        <v>43541</v>
      </c>
      <c r="C189" s="62" t="s">
        <v>14</v>
      </c>
      <c r="D189" s="62" t="s">
        <v>15</v>
      </c>
      <c r="E189" s="53">
        <f>SUM(F189:N189)</f>
        <v>6</v>
      </c>
      <c r="F189" s="63"/>
      <c r="G189" s="63">
        <v>1</v>
      </c>
      <c r="H189" s="63">
        <v>1</v>
      </c>
      <c r="I189" s="63"/>
      <c r="J189" s="63"/>
      <c r="K189" s="63">
        <v>2</v>
      </c>
      <c r="L189" s="63">
        <v>2</v>
      </c>
      <c r="M189" s="63"/>
      <c r="N189" s="63"/>
      <c r="O189" s="64" t="s">
        <v>817</v>
      </c>
      <c r="P189" s="56"/>
      <c r="Q189" s="57"/>
      <c r="R189" s="58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14.4" x14ac:dyDescent="0.3">
      <c r="A190" s="50"/>
      <c r="B190" s="61">
        <v>43541</v>
      </c>
      <c r="C190" s="62" t="s">
        <v>26</v>
      </c>
      <c r="D190" s="62" t="s">
        <v>27</v>
      </c>
      <c r="E190" s="53">
        <f>SUM(F190:N190)</f>
        <v>5</v>
      </c>
      <c r="F190" s="63"/>
      <c r="G190" s="63"/>
      <c r="H190" s="63"/>
      <c r="I190" s="63">
        <v>5</v>
      </c>
      <c r="J190" s="63"/>
      <c r="K190" s="63"/>
      <c r="L190" s="63"/>
      <c r="M190" s="63"/>
      <c r="N190" s="63"/>
      <c r="O190" s="64" t="s">
        <v>533</v>
      </c>
      <c r="P190" s="56"/>
      <c r="Q190" s="57"/>
      <c r="R190" s="58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 spans="1:28" ht="14.4" x14ac:dyDescent="0.3">
      <c r="A191" s="50"/>
      <c r="B191" s="61">
        <v>43541</v>
      </c>
      <c r="C191" s="62" t="s">
        <v>29</v>
      </c>
      <c r="D191" s="62" t="s">
        <v>30</v>
      </c>
      <c r="E191" s="53">
        <f>SUM(F191:N191)</f>
        <v>2</v>
      </c>
      <c r="F191" s="63"/>
      <c r="G191" s="63"/>
      <c r="H191" s="63"/>
      <c r="I191" s="63"/>
      <c r="J191" s="63">
        <v>2</v>
      </c>
      <c r="K191" s="63"/>
      <c r="L191" s="63"/>
      <c r="M191" s="63"/>
      <c r="N191" s="63"/>
      <c r="O191" s="64" t="s">
        <v>713</v>
      </c>
      <c r="P191" s="56"/>
      <c r="Q191" s="57"/>
      <c r="R191" s="58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 spans="1:28" ht="14.4" x14ac:dyDescent="0.3">
      <c r="A192" s="50"/>
      <c r="B192" s="61">
        <v>43541</v>
      </c>
      <c r="C192" s="62" t="s">
        <v>23</v>
      </c>
      <c r="D192" s="62" t="s">
        <v>24</v>
      </c>
      <c r="E192" s="53">
        <f>SUM(F192:N192)</f>
        <v>1</v>
      </c>
      <c r="F192" s="63"/>
      <c r="G192" s="63"/>
      <c r="H192" s="63"/>
      <c r="I192" s="63">
        <v>1</v>
      </c>
      <c r="J192" s="63"/>
      <c r="K192" s="63"/>
      <c r="L192" s="63"/>
      <c r="M192" s="63"/>
      <c r="N192" s="63"/>
      <c r="O192" s="64" t="s">
        <v>864</v>
      </c>
      <c r="P192" s="56"/>
      <c r="Q192" s="57"/>
      <c r="R192" s="58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 spans="1:28" ht="14.4" x14ac:dyDescent="0.3">
      <c r="A193" s="50"/>
      <c r="B193" s="61">
        <v>43541</v>
      </c>
      <c r="C193" s="62" t="s">
        <v>83</v>
      </c>
      <c r="D193" s="62" t="s">
        <v>84</v>
      </c>
      <c r="E193" s="53">
        <f>SUM(F193:N193)</f>
        <v>1</v>
      </c>
      <c r="F193" s="63"/>
      <c r="G193" s="63"/>
      <c r="H193" s="63"/>
      <c r="I193" s="63"/>
      <c r="J193" s="63">
        <v>1</v>
      </c>
      <c r="K193" s="63"/>
      <c r="L193" s="63"/>
      <c r="M193" s="63"/>
      <c r="N193" s="63"/>
      <c r="O193" s="64" t="s">
        <v>749</v>
      </c>
      <c r="P193" s="56"/>
      <c r="Q193" s="57"/>
      <c r="R193" s="58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 spans="1:28" ht="14.4" x14ac:dyDescent="0.3">
      <c r="A194" s="50"/>
      <c r="B194" s="61">
        <v>43543</v>
      </c>
      <c r="C194" s="62" t="s">
        <v>17</v>
      </c>
      <c r="D194" s="62" t="s">
        <v>18</v>
      </c>
      <c r="E194" s="53">
        <f>SUM(F194:N194)</f>
        <v>3</v>
      </c>
      <c r="F194" s="63"/>
      <c r="G194" s="63"/>
      <c r="H194" s="63"/>
      <c r="I194" s="63"/>
      <c r="J194" s="63">
        <v>2</v>
      </c>
      <c r="K194" s="63">
        <v>1</v>
      </c>
      <c r="L194" s="63"/>
      <c r="M194" s="63"/>
      <c r="N194" s="63"/>
      <c r="O194" s="64" t="s">
        <v>268</v>
      </c>
      <c r="P194" s="56"/>
      <c r="Q194" s="68" t="s">
        <v>926</v>
      </c>
      <c r="R194" s="58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 spans="1:28" ht="14.4" x14ac:dyDescent="0.3">
      <c r="A195" s="50"/>
      <c r="B195" s="61">
        <v>43544</v>
      </c>
      <c r="C195" s="62" t="s">
        <v>130</v>
      </c>
      <c r="D195" s="62" t="s">
        <v>131</v>
      </c>
      <c r="E195" s="53">
        <f>SUM(F195:N195)</f>
        <v>1</v>
      </c>
      <c r="F195" s="63"/>
      <c r="G195" s="63"/>
      <c r="H195" s="63"/>
      <c r="I195" s="63"/>
      <c r="J195" s="63"/>
      <c r="K195" s="63">
        <v>1</v>
      </c>
      <c r="L195" s="63"/>
      <c r="M195" s="63"/>
      <c r="N195" s="63"/>
      <c r="O195" s="64" t="s">
        <v>593</v>
      </c>
      <c r="P195" s="56"/>
      <c r="Q195" s="57"/>
      <c r="R195" s="58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 spans="1:28" ht="14.4" x14ac:dyDescent="0.3">
      <c r="A196" s="50"/>
      <c r="B196" s="61">
        <v>43544</v>
      </c>
      <c r="C196" s="62" t="s">
        <v>83</v>
      </c>
      <c r="D196" s="62" t="s">
        <v>84</v>
      </c>
      <c r="E196" s="53">
        <f>SUM(F196:N196)</f>
        <v>1</v>
      </c>
      <c r="F196" s="63"/>
      <c r="G196" s="63"/>
      <c r="H196" s="63">
        <v>1</v>
      </c>
      <c r="I196" s="63"/>
      <c r="J196" s="63"/>
      <c r="K196" s="63"/>
      <c r="L196" s="63"/>
      <c r="M196" s="63"/>
      <c r="N196" s="63"/>
      <c r="O196" s="64" t="s">
        <v>267</v>
      </c>
      <c r="P196" s="56"/>
      <c r="Q196" s="57"/>
      <c r="R196" s="58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 spans="1:28" ht="14.4" x14ac:dyDescent="0.3">
      <c r="A197" s="50"/>
      <c r="B197" s="61">
        <v>43545</v>
      </c>
      <c r="C197" s="62" t="s">
        <v>26</v>
      </c>
      <c r="D197" s="62" t="s">
        <v>27</v>
      </c>
      <c r="E197" s="53">
        <f>SUM(F197:N197)</f>
        <v>1</v>
      </c>
      <c r="F197" s="63"/>
      <c r="G197" s="63"/>
      <c r="H197" s="63"/>
      <c r="I197" s="63">
        <v>1</v>
      </c>
      <c r="J197" s="63"/>
      <c r="K197" s="63"/>
      <c r="L197" s="63"/>
      <c r="M197" s="63"/>
      <c r="N197" s="63"/>
      <c r="O197" s="64" t="s">
        <v>534</v>
      </c>
      <c r="P197" s="56"/>
      <c r="Q197" s="57"/>
      <c r="R197" s="58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 spans="1:28" ht="14.4" x14ac:dyDescent="0.3">
      <c r="A198" s="50"/>
      <c r="B198" s="61">
        <v>43545</v>
      </c>
      <c r="C198" s="62" t="s">
        <v>59</v>
      </c>
      <c r="D198" s="62" t="s">
        <v>60</v>
      </c>
      <c r="E198" s="53">
        <f>SUM(F198:N198)</f>
        <v>2</v>
      </c>
      <c r="F198" s="63"/>
      <c r="G198" s="63"/>
      <c r="H198" s="63">
        <v>1</v>
      </c>
      <c r="I198" s="63"/>
      <c r="J198" s="63"/>
      <c r="K198" s="63">
        <v>1</v>
      </c>
      <c r="L198" s="63"/>
      <c r="M198" s="63"/>
      <c r="N198" s="63"/>
      <c r="O198" s="64" t="s">
        <v>232</v>
      </c>
      <c r="P198" s="56"/>
      <c r="Q198" s="57"/>
      <c r="R198" s="58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 spans="1:28" ht="14.4" x14ac:dyDescent="0.3">
      <c r="A199" s="50"/>
      <c r="B199" s="61">
        <v>43545</v>
      </c>
      <c r="C199" s="62" t="s">
        <v>32</v>
      </c>
      <c r="D199" s="62" t="s">
        <v>33</v>
      </c>
      <c r="E199" s="53">
        <f>SUM(F199:N199)</f>
        <v>1</v>
      </c>
      <c r="F199" s="63"/>
      <c r="G199" s="63">
        <v>1</v>
      </c>
      <c r="H199" s="63"/>
      <c r="I199" s="63"/>
      <c r="J199" s="63"/>
      <c r="K199" s="63"/>
      <c r="L199" s="63"/>
      <c r="M199" s="63"/>
      <c r="N199" s="63"/>
      <c r="O199" s="64" t="s">
        <v>233</v>
      </c>
      <c r="P199" s="56"/>
      <c r="Q199" s="57"/>
      <c r="R199" s="58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 spans="1:28" ht="14.4" x14ac:dyDescent="0.3">
      <c r="A200" s="50"/>
      <c r="B200" s="61">
        <v>43546</v>
      </c>
      <c r="C200" s="62" t="s">
        <v>68</v>
      </c>
      <c r="D200" s="62" t="s">
        <v>69</v>
      </c>
      <c r="E200" s="53">
        <f>SUM(F200:N200)</f>
        <v>1</v>
      </c>
      <c r="F200" s="63"/>
      <c r="G200" s="63"/>
      <c r="H200" s="63"/>
      <c r="I200" s="63"/>
      <c r="J200" s="63"/>
      <c r="K200" s="63"/>
      <c r="L200" s="63">
        <v>1</v>
      </c>
      <c r="M200" s="63"/>
      <c r="N200" s="63"/>
      <c r="O200" s="64" t="s">
        <v>697</v>
      </c>
      <c r="P200" s="56"/>
      <c r="Q200" s="57"/>
      <c r="R200" s="58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 spans="1:28" ht="14.4" x14ac:dyDescent="0.3">
      <c r="A201" s="50"/>
      <c r="B201" s="61">
        <v>43547</v>
      </c>
      <c r="C201" s="62" t="s">
        <v>29</v>
      </c>
      <c r="D201" s="62" t="s">
        <v>30</v>
      </c>
      <c r="E201" s="53">
        <f>SUM(F201:N201)</f>
        <v>4</v>
      </c>
      <c r="F201" s="63"/>
      <c r="G201" s="63">
        <v>1</v>
      </c>
      <c r="H201" s="63"/>
      <c r="I201" s="63"/>
      <c r="J201" s="63">
        <v>3</v>
      </c>
      <c r="K201" s="63"/>
      <c r="L201" s="63"/>
      <c r="M201" s="63"/>
      <c r="N201" s="63"/>
      <c r="O201" s="64" t="s">
        <v>714</v>
      </c>
      <c r="P201" s="56"/>
      <c r="Q201" s="57"/>
      <c r="R201" s="58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 spans="1:28" ht="14.4" x14ac:dyDescent="0.3">
      <c r="A202" s="50"/>
      <c r="B202" s="61">
        <v>43547</v>
      </c>
      <c r="C202" s="62" t="s">
        <v>83</v>
      </c>
      <c r="D202" s="62" t="s">
        <v>84</v>
      </c>
      <c r="E202" s="53">
        <f>SUM(F202:N202)</f>
        <v>3</v>
      </c>
      <c r="F202" s="63"/>
      <c r="G202" s="63">
        <v>1</v>
      </c>
      <c r="H202" s="63">
        <v>1</v>
      </c>
      <c r="I202" s="63"/>
      <c r="J202" s="63">
        <v>1</v>
      </c>
      <c r="K202" s="63"/>
      <c r="L202" s="63"/>
      <c r="M202" s="63"/>
      <c r="N202" s="63"/>
      <c r="O202" s="64" t="s">
        <v>750</v>
      </c>
      <c r="P202" s="56"/>
      <c r="Q202" s="57"/>
      <c r="R202" s="58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 spans="1:28" ht="14.4" x14ac:dyDescent="0.3">
      <c r="A203" s="50"/>
      <c r="B203" s="61">
        <v>43547</v>
      </c>
      <c r="C203" s="62" t="s">
        <v>14</v>
      </c>
      <c r="D203" s="62" t="s">
        <v>15</v>
      </c>
      <c r="E203" s="53">
        <f>SUM(F203:N203)</f>
        <v>5</v>
      </c>
      <c r="F203" s="63"/>
      <c r="G203" s="63"/>
      <c r="H203" s="63">
        <v>1</v>
      </c>
      <c r="I203" s="63">
        <v>3</v>
      </c>
      <c r="J203" s="63">
        <v>1</v>
      </c>
      <c r="K203" s="63"/>
      <c r="L203" s="63"/>
      <c r="M203" s="63"/>
      <c r="N203" s="63"/>
      <c r="O203" s="64" t="s">
        <v>818</v>
      </c>
      <c r="P203" s="56"/>
      <c r="Q203" s="57"/>
      <c r="R203" s="58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 spans="1:28" ht="14.4" x14ac:dyDescent="0.3">
      <c r="A204" s="50"/>
      <c r="B204" s="61">
        <v>43547</v>
      </c>
      <c r="C204" s="62" t="s">
        <v>44</v>
      </c>
      <c r="D204" s="62" t="s">
        <v>45</v>
      </c>
      <c r="E204" s="53">
        <f>SUM(F204:N204)</f>
        <v>4</v>
      </c>
      <c r="F204" s="63">
        <v>1</v>
      </c>
      <c r="G204" s="63"/>
      <c r="H204" s="63"/>
      <c r="I204" s="63">
        <v>1</v>
      </c>
      <c r="J204" s="63">
        <v>2</v>
      </c>
      <c r="K204" s="63"/>
      <c r="L204" s="63"/>
      <c r="M204" s="63"/>
      <c r="N204" s="63"/>
      <c r="O204" s="64" t="s">
        <v>377</v>
      </c>
      <c r="P204" s="56"/>
      <c r="Q204" s="57"/>
      <c r="R204" s="58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 spans="1:28" ht="14.4" x14ac:dyDescent="0.3">
      <c r="A205" s="50"/>
      <c r="B205" s="61">
        <v>43547</v>
      </c>
      <c r="C205" s="62" t="s">
        <v>139</v>
      </c>
      <c r="D205" s="62" t="s">
        <v>140</v>
      </c>
      <c r="E205" s="53">
        <f>SUM(F205:N205)</f>
        <v>2</v>
      </c>
      <c r="F205" s="63"/>
      <c r="G205" s="63">
        <v>1</v>
      </c>
      <c r="H205" s="63"/>
      <c r="I205" s="63"/>
      <c r="J205" s="63"/>
      <c r="K205" s="63"/>
      <c r="L205" s="63">
        <v>1</v>
      </c>
      <c r="M205" s="63"/>
      <c r="N205" s="63"/>
      <c r="O205" s="64" t="s">
        <v>188</v>
      </c>
      <c r="P205" s="56"/>
      <c r="Q205" s="57"/>
      <c r="R205" s="58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 spans="1:28" ht="14.4" x14ac:dyDescent="0.3">
      <c r="A206" s="50"/>
      <c r="B206" s="61">
        <v>43547</v>
      </c>
      <c r="C206" s="62" t="s">
        <v>26</v>
      </c>
      <c r="D206" s="62" t="s">
        <v>27</v>
      </c>
      <c r="E206" s="53">
        <f>SUM(F206:N206)</f>
        <v>4</v>
      </c>
      <c r="F206" s="63"/>
      <c r="G206" s="63"/>
      <c r="H206" s="63"/>
      <c r="I206" s="63"/>
      <c r="J206" s="63">
        <v>2</v>
      </c>
      <c r="K206" s="63">
        <v>1</v>
      </c>
      <c r="L206" s="63">
        <v>1</v>
      </c>
      <c r="M206" s="63"/>
      <c r="N206" s="63"/>
      <c r="O206" s="64" t="s">
        <v>535</v>
      </c>
      <c r="P206" s="56"/>
      <c r="Q206" s="57"/>
      <c r="R206" s="58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 spans="1:28" ht="14.4" x14ac:dyDescent="0.3">
      <c r="A207" s="50"/>
      <c r="B207" s="61">
        <v>43547</v>
      </c>
      <c r="C207" s="62" t="s">
        <v>59</v>
      </c>
      <c r="D207" s="62" t="s">
        <v>60</v>
      </c>
      <c r="E207" s="53">
        <f>SUM(F207:N207)</f>
        <v>1</v>
      </c>
      <c r="F207" s="63"/>
      <c r="G207" s="63">
        <v>1</v>
      </c>
      <c r="H207" s="63"/>
      <c r="I207" s="63"/>
      <c r="J207" s="63"/>
      <c r="K207" s="63"/>
      <c r="L207" s="63"/>
      <c r="M207" s="63"/>
      <c r="N207" s="63"/>
      <c r="O207" s="64" t="s">
        <v>233</v>
      </c>
      <c r="P207" s="56"/>
      <c r="Q207" s="57"/>
      <c r="R207" s="58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 spans="1:28" ht="14.4" x14ac:dyDescent="0.3">
      <c r="A208" s="50"/>
      <c r="B208" s="61">
        <v>43547</v>
      </c>
      <c r="C208" s="62" t="s">
        <v>50</v>
      </c>
      <c r="D208" s="62" t="s">
        <v>51</v>
      </c>
      <c r="E208" s="53">
        <f>SUM(F208:N208)</f>
        <v>1</v>
      </c>
      <c r="F208" s="63"/>
      <c r="G208" s="63">
        <v>1</v>
      </c>
      <c r="H208" s="63"/>
      <c r="I208" s="63"/>
      <c r="J208" s="63"/>
      <c r="K208" s="63"/>
      <c r="L208" s="63"/>
      <c r="M208" s="63"/>
      <c r="N208" s="63"/>
      <c r="O208" s="64" t="s">
        <v>269</v>
      </c>
      <c r="P208" s="56"/>
      <c r="Q208" s="57"/>
      <c r="R208" s="58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 spans="1:28" ht="14.4" x14ac:dyDescent="0.3">
      <c r="A209" s="50"/>
      <c r="B209" s="61">
        <v>43547</v>
      </c>
      <c r="C209" s="62" t="s">
        <v>17</v>
      </c>
      <c r="D209" s="62" t="s">
        <v>18</v>
      </c>
      <c r="E209" s="53">
        <f>SUM(F209:N209)</f>
        <v>1</v>
      </c>
      <c r="F209" s="63"/>
      <c r="G209" s="63">
        <v>1</v>
      </c>
      <c r="H209" s="63"/>
      <c r="I209" s="63"/>
      <c r="J209" s="63"/>
      <c r="K209" s="63"/>
      <c r="L209" s="63"/>
      <c r="M209" s="63"/>
      <c r="N209" s="63"/>
      <c r="O209" s="64" t="s">
        <v>269</v>
      </c>
      <c r="P209" s="56"/>
      <c r="Q209" s="68" t="s">
        <v>927</v>
      </c>
      <c r="R209" s="58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 spans="1:28" ht="14.4" x14ac:dyDescent="0.3">
      <c r="A210" s="50"/>
      <c r="B210" s="61">
        <v>43547</v>
      </c>
      <c r="C210" s="62" t="s">
        <v>20</v>
      </c>
      <c r="D210" s="62" t="s">
        <v>21</v>
      </c>
      <c r="E210" s="53">
        <f>SUM(F210:N210)</f>
        <v>4</v>
      </c>
      <c r="F210" s="63"/>
      <c r="G210" s="63"/>
      <c r="H210" s="63">
        <v>1</v>
      </c>
      <c r="I210" s="63"/>
      <c r="J210" s="63">
        <v>1</v>
      </c>
      <c r="K210" s="63">
        <v>2</v>
      </c>
      <c r="L210" s="63"/>
      <c r="M210" s="63"/>
      <c r="N210" s="63"/>
      <c r="O210" s="64" t="s">
        <v>409</v>
      </c>
      <c r="P210" s="56"/>
      <c r="Q210" s="57"/>
      <c r="R210" s="58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 spans="1:28" ht="14.4" x14ac:dyDescent="0.3">
      <c r="A211" s="50"/>
      <c r="B211" s="61">
        <v>43547</v>
      </c>
      <c r="C211" s="62" t="s">
        <v>38</v>
      </c>
      <c r="D211" s="62" t="s">
        <v>39</v>
      </c>
      <c r="E211" s="53">
        <f>SUM(F211:N211)</f>
        <v>3</v>
      </c>
      <c r="F211" s="63">
        <v>1</v>
      </c>
      <c r="G211" s="63"/>
      <c r="H211" s="63"/>
      <c r="I211" s="63">
        <v>1</v>
      </c>
      <c r="J211" s="63">
        <v>1</v>
      </c>
      <c r="K211" s="63"/>
      <c r="L211" s="63"/>
      <c r="M211" s="63"/>
      <c r="N211" s="63"/>
      <c r="O211" s="64" t="s">
        <v>498</v>
      </c>
      <c r="P211" s="56"/>
      <c r="Q211" s="57"/>
      <c r="R211" s="58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 spans="1:28" ht="14.4" x14ac:dyDescent="0.3">
      <c r="A212" s="50"/>
      <c r="B212" s="61">
        <v>43548</v>
      </c>
      <c r="C212" s="62" t="s">
        <v>68</v>
      </c>
      <c r="D212" s="62" t="s">
        <v>69</v>
      </c>
      <c r="E212" s="53">
        <f>SUM(F212:N212)</f>
        <v>1</v>
      </c>
      <c r="F212" s="63"/>
      <c r="G212" s="63"/>
      <c r="H212" s="63"/>
      <c r="I212" s="63"/>
      <c r="J212" s="63"/>
      <c r="K212" s="63">
        <v>1</v>
      </c>
      <c r="L212" s="63"/>
      <c r="M212" s="63"/>
      <c r="N212" s="63"/>
      <c r="O212" s="64" t="s">
        <v>698</v>
      </c>
      <c r="P212" s="56"/>
      <c r="Q212" s="57"/>
      <c r="R212" s="58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 spans="1:28" ht="14.4" x14ac:dyDescent="0.3">
      <c r="A213" s="50"/>
      <c r="B213" s="61">
        <v>43548</v>
      </c>
      <c r="C213" s="62" t="s">
        <v>29</v>
      </c>
      <c r="D213" s="62" t="s">
        <v>30</v>
      </c>
      <c r="E213" s="53">
        <f>SUM(F213:N213)</f>
        <v>2</v>
      </c>
      <c r="F213" s="63"/>
      <c r="G213" s="63"/>
      <c r="H213" s="63"/>
      <c r="I213" s="63"/>
      <c r="J213" s="63">
        <v>1</v>
      </c>
      <c r="K213" s="63">
        <v>1</v>
      </c>
      <c r="L213" s="63"/>
      <c r="M213" s="63"/>
      <c r="N213" s="63"/>
      <c r="O213" s="64" t="s">
        <v>715</v>
      </c>
      <c r="P213" s="56"/>
      <c r="Q213" s="57"/>
      <c r="R213" s="58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 spans="1:28" ht="14.4" x14ac:dyDescent="0.3">
      <c r="A214" s="50"/>
      <c r="B214" s="61">
        <v>43548</v>
      </c>
      <c r="C214" s="62" t="s">
        <v>26</v>
      </c>
      <c r="D214" s="62" t="s">
        <v>27</v>
      </c>
      <c r="E214" s="53">
        <f>SUM(F214:N214)</f>
        <v>5</v>
      </c>
      <c r="F214" s="63"/>
      <c r="G214" s="63"/>
      <c r="H214" s="63"/>
      <c r="I214" s="63"/>
      <c r="J214" s="63">
        <v>5</v>
      </c>
      <c r="K214" s="63"/>
      <c r="L214" s="63"/>
      <c r="M214" s="63"/>
      <c r="N214" s="63"/>
      <c r="O214" s="64" t="s">
        <v>536</v>
      </c>
      <c r="P214" s="56"/>
      <c r="Q214" s="57"/>
      <c r="R214" s="58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 spans="1:28" ht="14.4" x14ac:dyDescent="0.3">
      <c r="A215" s="50"/>
      <c r="B215" s="61">
        <v>43548</v>
      </c>
      <c r="C215" s="62" t="s">
        <v>130</v>
      </c>
      <c r="D215" s="62" t="s">
        <v>131</v>
      </c>
      <c r="E215" s="53">
        <f>SUM(F215:N215)</f>
        <v>1</v>
      </c>
      <c r="F215" s="63"/>
      <c r="G215" s="63"/>
      <c r="H215" s="63"/>
      <c r="I215" s="63"/>
      <c r="J215" s="63">
        <v>1</v>
      </c>
      <c r="K215" s="63"/>
      <c r="L215" s="63"/>
      <c r="M215" s="63"/>
      <c r="N215" s="63"/>
      <c r="O215" s="64" t="s">
        <v>594</v>
      </c>
      <c r="P215" s="56"/>
      <c r="Q215" s="57"/>
      <c r="R215" s="58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 spans="1:28" ht="14.4" x14ac:dyDescent="0.3">
      <c r="A216" s="50"/>
      <c r="B216" s="61">
        <v>43548</v>
      </c>
      <c r="C216" s="62" t="s">
        <v>154</v>
      </c>
      <c r="D216" s="62" t="s">
        <v>155</v>
      </c>
      <c r="E216" s="53">
        <f>SUM(F216:N216)</f>
        <v>1</v>
      </c>
      <c r="F216" s="63">
        <v>1</v>
      </c>
      <c r="G216" s="63"/>
      <c r="H216" s="63"/>
      <c r="I216" s="63"/>
      <c r="J216" s="63"/>
      <c r="K216" s="63"/>
      <c r="L216" s="63"/>
      <c r="M216" s="63"/>
      <c r="N216" s="63"/>
      <c r="O216" s="64" t="s">
        <v>674</v>
      </c>
      <c r="P216" s="56"/>
      <c r="Q216" s="57"/>
      <c r="R216" s="58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 spans="1:28" ht="14.4" x14ac:dyDescent="0.3">
      <c r="A217" s="50"/>
      <c r="B217" s="61">
        <v>43548</v>
      </c>
      <c r="C217" s="62" t="s">
        <v>77</v>
      </c>
      <c r="D217" s="62" t="s">
        <v>78</v>
      </c>
      <c r="E217" s="53">
        <f>SUM(F217:N217)</f>
        <v>1</v>
      </c>
      <c r="F217" s="63"/>
      <c r="G217" s="63">
        <v>1</v>
      </c>
      <c r="H217" s="63"/>
      <c r="I217" s="63"/>
      <c r="J217" s="63"/>
      <c r="K217" s="63"/>
      <c r="L217" s="63"/>
      <c r="M217" s="63"/>
      <c r="N217" s="63"/>
      <c r="O217" s="64" t="s">
        <v>684</v>
      </c>
      <c r="P217" s="56"/>
      <c r="Q217" s="57"/>
      <c r="R217" s="58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 spans="1:28" ht="14.4" x14ac:dyDescent="0.3">
      <c r="A218" s="50"/>
      <c r="B218" s="61">
        <v>43551</v>
      </c>
      <c r="C218" s="62" t="s">
        <v>71</v>
      </c>
      <c r="D218" s="62" t="s">
        <v>72</v>
      </c>
      <c r="E218" s="53">
        <f>SUM(F218:N218)</f>
        <v>1</v>
      </c>
      <c r="F218" s="63"/>
      <c r="G218" s="63"/>
      <c r="H218" s="63">
        <v>1</v>
      </c>
      <c r="I218" s="63"/>
      <c r="J218" s="63"/>
      <c r="K218" s="63"/>
      <c r="L218" s="63"/>
      <c r="M218" s="63"/>
      <c r="N218" s="63"/>
      <c r="O218" s="64" t="s">
        <v>612</v>
      </c>
      <c r="P218" s="56"/>
      <c r="Q218" s="57"/>
      <c r="R218" s="58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 spans="1:28" ht="14.4" x14ac:dyDescent="0.3">
      <c r="A219" s="50"/>
      <c r="B219" s="61">
        <v>43552</v>
      </c>
      <c r="C219" s="62" t="s">
        <v>109</v>
      </c>
      <c r="D219" s="62" t="s">
        <v>110</v>
      </c>
      <c r="E219" s="53">
        <f>SUM(F219:N219)</f>
        <v>1</v>
      </c>
      <c r="F219" s="63"/>
      <c r="G219" s="63"/>
      <c r="H219" s="63"/>
      <c r="I219" s="63">
        <v>1</v>
      </c>
      <c r="J219" s="63"/>
      <c r="K219" s="63"/>
      <c r="L219" s="63"/>
      <c r="M219" s="63"/>
      <c r="N219" s="63"/>
      <c r="O219" s="64" t="s">
        <v>610</v>
      </c>
      <c r="P219" s="56"/>
      <c r="Q219" s="57"/>
      <c r="R219" s="58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 spans="1:28" ht="14.4" x14ac:dyDescent="0.3">
      <c r="A220" s="50"/>
      <c r="B220" s="61">
        <v>43553</v>
      </c>
      <c r="C220" s="62" t="s">
        <v>44</v>
      </c>
      <c r="D220" s="62" t="s">
        <v>45</v>
      </c>
      <c r="E220" s="53">
        <f>SUM(F220:N220)</f>
        <v>3</v>
      </c>
      <c r="F220" s="63"/>
      <c r="G220" s="63">
        <v>1</v>
      </c>
      <c r="H220" s="63"/>
      <c r="I220" s="63"/>
      <c r="J220" s="63">
        <v>2</v>
      </c>
      <c r="K220" s="63"/>
      <c r="L220" s="63"/>
      <c r="M220" s="63"/>
      <c r="N220" s="63"/>
      <c r="O220" s="64" t="s">
        <v>378</v>
      </c>
      <c r="P220" s="56"/>
      <c r="Q220" s="57"/>
      <c r="R220" s="58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 spans="1:28" ht="14.4" x14ac:dyDescent="0.3">
      <c r="A221" s="50"/>
      <c r="B221" s="61">
        <v>43553</v>
      </c>
      <c r="C221" s="62" t="s">
        <v>68</v>
      </c>
      <c r="D221" s="62" t="s">
        <v>69</v>
      </c>
      <c r="E221" s="53">
        <f>SUM(F221:N221)</f>
        <v>1</v>
      </c>
      <c r="F221" s="63"/>
      <c r="G221" s="63"/>
      <c r="H221" s="63"/>
      <c r="I221" s="63"/>
      <c r="J221" s="63"/>
      <c r="K221" s="63"/>
      <c r="L221" s="63">
        <v>1</v>
      </c>
      <c r="M221" s="63"/>
      <c r="N221" s="63"/>
      <c r="O221" s="64" t="s">
        <v>699</v>
      </c>
      <c r="P221" s="56"/>
      <c r="Q221" s="57"/>
      <c r="R221" s="58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 spans="1:28" ht="14.4" x14ac:dyDescent="0.3">
      <c r="A222" s="50"/>
      <c r="B222" s="61">
        <v>43554</v>
      </c>
      <c r="C222" s="62" t="s">
        <v>44</v>
      </c>
      <c r="D222" s="62" t="s">
        <v>45</v>
      </c>
      <c r="E222" s="53">
        <f>SUM(F222:N222)</f>
        <v>2</v>
      </c>
      <c r="F222" s="63"/>
      <c r="G222" s="63"/>
      <c r="H222" s="63"/>
      <c r="I222" s="63"/>
      <c r="J222" s="63">
        <v>2</v>
      </c>
      <c r="K222" s="63"/>
      <c r="L222" s="63"/>
      <c r="M222" s="63"/>
      <c r="N222" s="63"/>
      <c r="O222" s="64" t="s">
        <v>379</v>
      </c>
      <c r="P222" s="56"/>
      <c r="Q222" s="57"/>
      <c r="R222" s="58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 spans="1:28" ht="14.4" x14ac:dyDescent="0.3">
      <c r="A223" s="50"/>
      <c r="B223" s="61">
        <v>43554</v>
      </c>
      <c r="C223" s="62" t="s">
        <v>20</v>
      </c>
      <c r="D223" s="62" t="s">
        <v>21</v>
      </c>
      <c r="E223" s="53">
        <f>SUM(F223:N223)</f>
        <v>3</v>
      </c>
      <c r="F223" s="63"/>
      <c r="G223" s="63"/>
      <c r="H223" s="63"/>
      <c r="I223" s="63"/>
      <c r="J223" s="63">
        <v>2</v>
      </c>
      <c r="K223" s="63"/>
      <c r="L223" s="63">
        <v>1</v>
      </c>
      <c r="M223" s="63"/>
      <c r="N223" s="63"/>
      <c r="O223" s="64" t="s">
        <v>410</v>
      </c>
      <c r="P223" s="56"/>
      <c r="Q223" s="57"/>
      <c r="R223" s="58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 spans="1:28" ht="14.4" x14ac:dyDescent="0.3">
      <c r="A224" s="50"/>
      <c r="B224" s="61">
        <v>43554</v>
      </c>
      <c r="C224" s="62" t="s">
        <v>32</v>
      </c>
      <c r="D224" s="62" t="s">
        <v>33</v>
      </c>
      <c r="E224" s="53">
        <f>SUM(F224:N224)</f>
        <v>1</v>
      </c>
      <c r="F224" s="63"/>
      <c r="G224" s="63"/>
      <c r="H224" s="63"/>
      <c r="I224" s="63"/>
      <c r="J224" s="63">
        <v>1</v>
      </c>
      <c r="K224" s="63"/>
      <c r="L224" s="63"/>
      <c r="M224" s="63"/>
      <c r="N224" s="63"/>
      <c r="O224" s="64" t="s">
        <v>639</v>
      </c>
      <c r="P224" s="56"/>
      <c r="Q224" s="57"/>
      <c r="R224" s="58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 spans="1:28" ht="14.4" x14ac:dyDescent="0.3">
      <c r="A225" s="50"/>
      <c r="B225" s="61">
        <v>43554</v>
      </c>
      <c r="C225" s="62" t="s">
        <v>38</v>
      </c>
      <c r="D225" s="62" t="s">
        <v>39</v>
      </c>
      <c r="E225" s="53">
        <f>SUM(F225:N225)</f>
        <v>2</v>
      </c>
      <c r="F225" s="63"/>
      <c r="G225" s="63"/>
      <c r="H225" s="63"/>
      <c r="I225" s="63"/>
      <c r="J225" s="63">
        <v>1</v>
      </c>
      <c r="K225" s="63">
        <v>1</v>
      </c>
      <c r="L225" s="63"/>
      <c r="M225" s="63"/>
      <c r="N225" s="63"/>
      <c r="O225" s="64" t="s">
        <v>404</v>
      </c>
      <c r="P225" s="56"/>
      <c r="Q225" s="57"/>
      <c r="R225" s="58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 spans="1:28" ht="14.4" x14ac:dyDescent="0.3">
      <c r="A226" s="50"/>
      <c r="B226" s="61">
        <v>43554</v>
      </c>
      <c r="C226" s="62" t="s">
        <v>118</v>
      </c>
      <c r="D226" s="62" t="s">
        <v>119</v>
      </c>
      <c r="E226" s="53">
        <f>SUM(F226:N226)</f>
        <v>2</v>
      </c>
      <c r="F226" s="63"/>
      <c r="G226" s="63"/>
      <c r="H226" s="63"/>
      <c r="I226" s="63"/>
      <c r="J226" s="63">
        <v>1</v>
      </c>
      <c r="K226" s="63">
        <v>1</v>
      </c>
      <c r="L226" s="63"/>
      <c r="M226" s="63"/>
      <c r="N226" s="63"/>
      <c r="O226" s="64" t="s">
        <v>404</v>
      </c>
      <c r="P226" s="56"/>
      <c r="Q226" s="57"/>
      <c r="R226" s="58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 spans="1:28" ht="14.4" x14ac:dyDescent="0.3">
      <c r="A227" s="50"/>
      <c r="B227" s="61">
        <v>43554</v>
      </c>
      <c r="C227" s="62" t="s">
        <v>14</v>
      </c>
      <c r="D227" s="62" t="s">
        <v>15</v>
      </c>
      <c r="E227" s="53">
        <f>SUM(F227:N227)</f>
        <v>8</v>
      </c>
      <c r="F227" s="63"/>
      <c r="G227" s="63"/>
      <c r="H227" s="63"/>
      <c r="I227" s="63"/>
      <c r="J227" s="63">
        <v>2</v>
      </c>
      <c r="K227" s="63">
        <v>2</v>
      </c>
      <c r="L227" s="63">
        <v>4</v>
      </c>
      <c r="M227" s="63"/>
      <c r="N227" s="63"/>
      <c r="O227" s="64" t="s">
        <v>819</v>
      </c>
      <c r="P227" s="56"/>
      <c r="Q227" s="57"/>
      <c r="R227" s="58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 spans="1:28" ht="14.4" x14ac:dyDescent="0.3">
      <c r="A228" s="50"/>
      <c r="B228" s="61">
        <v>43554</v>
      </c>
      <c r="C228" s="62" t="s">
        <v>103</v>
      </c>
      <c r="D228" s="62" t="s">
        <v>104</v>
      </c>
      <c r="E228" s="53">
        <f>SUM(F228:N228)</f>
        <v>1</v>
      </c>
      <c r="F228" s="63"/>
      <c r="G228" s="63"/>
      <c r="H228" s="63"/>
      <c r="I228" s="63"/>
      <c r="J228" s="63">
        <v>1</v>
      </c>
      <c r="K228" s="63"/>
      <c r="L228" s="63"/>
      <c r="M228" s="63"/>
      <c r="N228" s="63"/>
      <c r="O228" s="64" t="s">
        <v>395</v>
      </c>
      <c r="P228" s="56"/>
      <c r="Q228" s="57"/>
      <c r="R228" s="58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 spans="1:28" ht="14.4" x14ac:dyDescent="0.3">
      <c r="A229" s="50"/>
      <c r="B229" s="61">
        <v>43554</v>
      </c>
      <c r="C229" s="62" t="s">
        <v>23</v>
      </c>
      <c r="D229" s="62" t="s">
        <v>24</v>
      </c>
      <c r="E229" s="53">
        <f>SUM(F229:N229)</f>
        <v>1</v>
      </c>
      <c r="F229" s="63"/>
      <c r="G229" s="63"/>
      <c r="H229" s="63"/>
      <c r="I229" s="63"/>
      <c r="J229" s="63">
        <v>1</v>
      </c>
      <c r="K229" s="63"/>
      <c r="L229" s="63"/>
      <c r="M229" s="63"/>
      <c r="N229" s="63"/>
      <c r="O229" s="64" t="s">
        <v>774</v>
      </c>
      <c r="P229" s="56"/>
      <c r="Q229" s="57"/>
      <c r="R229" s="58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 spans="1:28" ht="14.4" x14ac:dyDescent="0.3">
      <c r="A230" s="50"/>
      <c r="B230" s="61">
        <v>43555</v>
      </c>
      <c r="C230" s="62" t="s">
        <v>38</v>
      </c>
      <c r="D230" s="62" t="s">
        <v>39</v>
      </c>
      <c r="E230" s="53">
        <f>SUM(F230:N230)</f>
        <v>1</v>
      </c>
      <c r="F230" s="63"/>
      <c r="G230" s="63"/>
      <c r="H230" s="63">
        <v>1</v>
      </c>
      <c r="I230" s="63"/>
      <c r="J230" s="63"/>
      <c r="K230" s="63"/>
      <c r="L230" s="63"/>
      <c r="M230" s="63"/>
      <c r="N230" s="63"/>
      <c r="O230" s="64" t="s">
        <v>499</v>
      </c>
      <c r="P230" s="56"/>
      <c r="Q230" s="57"/>
      <c r="R230" s="58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 spans="1:28" ht="14.4" x14ac:dyDescent="0.3">
      <c r="A231" s="50"/>
      <c r="B231" s="61">
        <v>43555</v>
      </c>
      <c r="C231" s="62" t="s">
        <v>59</v>
      </c>
      <c r="D231" s="62" t="s">
        <v>60</v>
      </c>
      <c r="E231" s="53">
        <f>SUM(F231:N231)</f>
        <v>1</v>
      </c>
      <c r="F231" s="63"/>
      <c r="G231" s="63"/>
      <c r="H231" s="63">
        <v>1</v>
      </c>
      <c r="I231" s="63"/>
      <c r="J231" s="63"/>
      <c r="K231" s="63"/>
      <c r="L231" s="63"/>
      <c r="M231" s="63"/>
      <c r="N231" s="63"/>
      <c r="O231" s="64" t="s">
        <v>234</v>
      </c>
      <c r="P231" s="56"/>
      <c r="Q231" s="57"/>
      <c r="R231" s="58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 spans="1:28" ht="14.4" x14ac:dyDescent="0.3">
      <c r="A232" s="50"/>
      <c r="B232" s="61">
        <v>43555</v>
      </c>
      <c r="C232" s="62" t="s">
        <v>17</v>
      </c>
      <c r="D232" s="62" t="s">
        <v>18</v>
      </c>
      <c r="E232" s="53">
        <f>SUM(F232:N232)</f>
        <v>1</v>
      </c>
      <c r="F232" s="63"/>
      <c r="G232" s="63"/>
      <c r="H232" s="63"/>
      <c r="I232" s="63"/>
      <c r="J232" s="63"/>
      <c r="K232" s="63">
        <v>1</v>
      </c>
      <c r="L232" s="63"/>
      <c r="M232" s="63"/>
      <c r="N232" s="63"/>
      <c r="O232" s="64" t="s">
        <v>270</v>
      </c>
      <c r="P232" s="56"/>
      <c r="Q232" s="68" t="s">
        <v>928</v>
      </c>
      <c r="R232" s="58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 spans="1:28" ht="14.4" x14ac:dyDescent="0.3">
      <c r="A233" s="50"/>
      <c r="B233" s="61">
        <v>43555</v>
      </c>
      <c r="C233" s="62" t="s">
        <v>26</v>
      </c>
      <c r="D233" s="62" t="s">
        <v>27</v>
      </c>
      <c r="E233" s="53">
        <f>SUM(F233:N233)</f>
        <v>2</v>
      </c>
      <c r="F233" s="63"/>
      <c r="G233" s="63"/>
      <c r="H233" s="63"/>
      <c r="I233" s="63">
        <v>2</v>
      </c>
      <c r="J233" s="63"/>
      <c r="K233" s="63"/>
      <c r="L233" s="63"/>
      <c r="M233" s="63"/>
      <c r="N233" s="63"/>
      <c r="O233" s="64" t="s">
        <v>537</v>
      </c>
      <c r="P233" s="56"/>
      <c r="Q233" s="57"/>
      <c r="R233" s="58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 spans="1:28" ht="14.4" x14ac:dyDescent="0.3">
      <c r="A234" s="50"/>
      <c r="B234" s="61">
        <v>43555</v>
      </c>
      <c r="C234" s="62" t="s">
        <v>77</v>
      </c>
      <c r="D234" s="62" t="s">
        <v>78</v>
      </c>
      <c r="E234" s="53">
        <f>SUM(F234:N234)</f>
        <v>2</v>
      </c>
      <c r="F234" s="63"/>
      <c r="G234" s="63"/>
      <c r="H234" s="63"/>
      <c r="I234" s="63"/>
      <c r="J234" s="63">
        <v>2</v>
      </c>
      <c r="K234" s="63"/>
      <c r="L234" s="63"/>
      <c r="M234" s="63"/>
      <c r="N234" s="63"/>
      <c r="O234" s="64" t="s">
        <v>685</v>
      </c>
      <c r="P234" s="56"/>
      <c r="Q234" s="57"/>
      <c r="R234" s="58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 spans="1:28" ht="14.4" x14ac:dyDescent="0.3">
      <c r="A235" s="50"/>
      <c r="B235" s="61">
        <v>43555</v>
      </c>
      <c r="C235" s="62" t="s">
        <v>118</v>
      </c>
      <c r="D235" s="62" t="s">
        <v>119</v>
      </c>
      <c r="E235" s="53">
        <f>SUM(F235:N235)</f>
        <v>1</v>
      </c>
      <c r="F235" s="63"/>
      <c r="G235" s="63"/>
      <c r="H235" s="63"/>
      <c r="I235" s="63"/>
      <c r="J235" s="63">
        <v>1</v>
      </c>
      <c r="K235" s="63"/>
      <c r="L235" s="63"/>
      <c r="M235" s="63"/>
      <c r="N235" s="63"/>
      <c r="O235" s="64" t="s">
        <v>637</v>
      </c>
      <c r="P235" s="56"/>
      <c r="Q235" s="57"/>
      <c r="R235" s="58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 spans="1:28" ht="14.4" x14ac:dyDescent="0.3">
      <c r="A236" s="50"/>
      <c r="B236" s="61">
        <v>43555</v>
      </c>
      <c r="C236" s="62" t="s">
        <v>14</v>
      </c>
      <c r="D236" s="62" t="s">
        <v>15</v>
      </c>
      <c r="E236" s="53">
        <f>SUM(F236:N236)</f>
        <v>3</v>
      </c>
      <c r="F236" s="63"/>
      <c r="G236" s="63"/>
      <c r="H236" s="63"/>
      <c r="I236" s="63"/>
      <c r="J236" s="63"/>
      <c r="K236" s="63">
        <v>2</v>
      </c>
      <c r="L236" s="63">
        <v>1</v>
      </c>
      <c r="M236" s="63"/>
      <c r="N236" s="63"/>
      <c r="O236" s="64" t="s">
        <v>820</v>
      </c>
      <c r="P236" s="56"/>
      <c r="Q236" s="57"/>
      <c r="R236" s="58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 spans="1:28" ht="14.4" x14ac:dyDescent="0.3">
      <c r="A237" s="50"/>
      <c r="B237" s="61">
        <v>43555</v>
      </c>
      <c r="C237" s="62" t="s">
        <v>47</v>
      </c>
      <c r="D237" s="62" t="s">
        <v>48</v>
      </c>
      <c r="E237" s="53">
        <f>SUM(F237:N237)</f>
        <v>1</v>
      </c>
      <c r="F237" s="63"/>
      <c r="G237" s="63"/>
      <c r="H237" s="63"/>
      <c r="I237" s="63"/>
      <c r="J237" s="63">
        <v>1</v>
      </c>
      <c r="K237" s="63"/>
      <c r="L237" s="63"/>
      <c r="M237" s="63"/>
      <c r="N237" s="63"/>
      <c r="O237" s="64" t="s">
        <v>337</v>
      </c>
      <c r="P237" s="56"/>
      <c r="Q237" s="57"/>
      <c r="R237" s="58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 spans="1:28" ht="14.4" x14ac:dyDescent="0.3">
      <c r="A238" s="50"/>
      <c r="B238" s="61">
        <v>43558</v>
      </c>
      <c r="C238" s="62" t="s">
        <v>71</v>
      </c>
      <c r="D238" s="62" t="s">
        <v>72</v>
      </c>
      <c r="E238" s="53">
        <f>SUM(F238:N238)</f>
        <v>1</v>
      </c>
      <c r="F238" s="63"/>
      <c r="G238" s="63">
        <v>1</v>
      </c>
      <c r="H238" s="63"/>
      <c r="I238" s="63"/>
      <c r="J238" s="63"/>
      <c r="K238" s="63"/>
      <c r="L238" s="63"/>
      <c r="M238" s="63"/>
      <c r="N238" s="63"/>
      <c r="O238" s="64" t="s">
        <v>613</v>
      </c>
      <c r="P238" s="56"/>
      <c r="Q238" s="57"/>
      <c r="R238" s="58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 spans="1:28" ht="14.4" x14ac:dyDescent="0.3">
      <c r="A239" s="50"/>
      <c r="B239" s="61">
        <v>43559</v>
      </c>
      <c r="C239" s="62" t="s">
        <v>103</v>
      </c>
      <c r="D239" s="62" t="s">
        <v>104</v>
      </c>
      <c r="E239" s="53">
        <f>SUM(F239:N239)</f>
        <v>1</v>
      </c>
      <c r="F239" s="63"/>
      <c r="G239" s="63"/>
      <c r="H239" s="63"/>
      <c r="I239" s="63"/>
      <c r="J239" s="63">
        <v>1</v>
      </c>
      <c r="K239" s="63"/>
      <c r="L239" s="63"/>
      <c r="M239" s="63"/>
      <c r="N239" s="63"/>
      <c r="O239" s="64" t="s">
        <v>250</v>
      </c>
      <c r="P239" s="56"/>
      <c r="Q239" s="57"/>
      <c r="R239" s="58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 spans="1:28" ht="14.4" x14ac:dyDescent="0.3">
      <c r="A240" s="50"/>
      <c r="B240" s="61">
        <v>43559</v>
      </c>
      <c r="C240" s="62" t="s">
        <v>20</v>
      </c>
      <c r="D240" s="62" t="s">
        <v>21</v>
      </c>
      <c r="E240" s="53">
        <f>SUM(F240:N240)</f>
        <v>1</v>
      </c>
      <c r="F240" s="63"/>
      <c r="G240" s="63"/>
      <c r="H240" s="63"/>
      <c r="I240" s="63"/>
      <c r="J240" s="63"/>
      <c r="K240" s="63">
        <v>1</v>
      </c>
      <c r="L240" s="63"/>
      <c r="M240" s="63"/>
      <c r="N240" s="63"/>
      <c r="O240" s="64" t="s">
        <v>411</v>
      </c>
      <c r="P240" s="56"/>
      <c r="Q240" s="57"/>
      <c r="R240" s="58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 spans="1:28" ht="14.4" x14ac:dyDescent="0.3">
      <c r="A241" s="50"/>
      <c r="B241" s="61">
        <v>43560</v>
      </c>
      <c r="C241" s="62" t="s">
        <v>23</v>
      </c>
      <c r="D241" s="62" t="s">
        <v>24</v>
      </c>
      <c r="E241" s="53">
        <f>SUM(F241:N241)</f>
        <v>1</v>
      </c>
      <c r="F241" s="63"/>
      <c r="G241" s="63"/>
      <c r="H241" s="63"/>
      <c r="I241" s="63"/>
      <c r="J241" s="63"/>
      <c r="K241" s="63">
        <v>1</v>
      </c>
      <c r="L241" s="63"/>
      <c r="M241" s="63"/>
      <c r="N241" s="63"/>
      <c r="O241" s="64" t="s">
        <v>865</v>
      </c>
      <c r="P241" s="56"/>
      <c r="Q241" s="57"/>
      <c r="R241" s="58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 spans="1:28" ht="14.4" x14ac:dyDescent="0.3">
      <c r="A242" s="50"/>
      <c r="B242" s="61">
        <v>43561</v>
      </c>
      <c r="C242" s="62" t="s">
        <v>17</v>
      </c>
      <c r="D242" s="62" t="s">
        <v>18</v>
      </c>
      <c r="E242" s="53">
        <f>SUM(F242:N242)</f>
        <v>1</v>
      </c>
      <c r="F242" s="63"/>
      <c r="G242" s="63"/>
      <c r="H242" s="63"/>
      <c r="I242" s="63"/>
      <c r="J242" s="63">
        <v>1</v>
      </c>
      <c r="K242" s="63"/>
      <c r="L242" s="63"/>
      <c r="M242" s="63"/>
      <c r="N242" s="63"/>
      <c r="O242" s="64" t="s">
        <v>194</v>
      </c>
      <c r="P242" s="56"/>
      <c r="Q242" s="68" t="s">
        <v>929</v>
      </c>
      <c r="R242" s="58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 spans="1:28" ht="14.4" x14ac:dyDescent="0.3">
      <c r="A243" s="50"/>
      <c r="B243" s="61">
        <v>43561</v>
      </c>
      <c r="C243" s="62" t="s">
        <v>77</v>
      </c>
      <c r="D243" s="62" t="s">
        <v>78</v>
      </c>
      <c r="E243" s="53">
        <f>SUM(F243:N243)</f>
        <v>2</v>
      </c>
      <c r="F243" s="63"/>
      <c r="G243" s="63"/>
      <c r="H243" s="63"/>
      <c r="I243" s="63"/>
      <c r="J243" s="63">
        <v>1</v>
      </c>
      <c r="K243" s="63"/>
      <c r="L243" s="63">
        <v>1</v>
      </c>
      <c r="M243" s="63"/>
      <c r="N243" s="63"/>
      <c r="O243" s="64" t="s">
        <v>686</v>
      </c>
      <c r="P243" s="56"/>
      <c r="Q243" s="57"/>
      <c r="R243" s="58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 spans="1:28" ht="14.4" x14ac:dyDescent="0.3">
      <c r="A244" s="50"/>
      <c r="B244" s="61">
        <v>43561</v>
      </c>
      <c r="C244" s="62" t="s">
        <v>50</v>
      </c>
      <c r="D244" s="62" t="s">
        <v>51</v>
      </c>
      <c r="E244" s="53">
        <f>SUM(F244:N244)</f>
        <v>2</v>
      </c>
      <c r="F244" s="63"/>
      <c r="G244" s="63">
        <v>1</v>
      </c>
      <c r="H244" s="63"/>
      <c r="I244" s="63"/>
      <c r="J244" s="63"/>
      <c r="K244" s="63">
        <v>1</v>
      </c>
      <c r="L244" s="63"/>
      <c r="M244" s="63"/>
      <c r="N244" s="63"/>
      <c r="O244" s="64" t="s">
        <v>759</v>
      </c>
      <c r="P244" s="56"/>
      <c r="Q244" s="57"/>
      <c r="R244" s="58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 spans="1:28" ht="14.4" x14ac:dyDescent="0.3">
      <c r="A245" s="50"/>
      <c r="B245" s="61">
        <v>43561</v>
      </c>
      <c r="C245" s="62" t="s">
        <v>65</v>
      </c>
      <c r="D245" s="62" t="s">
        <v>66</v>
      </c>
      <c r="E245" s="53">
        <f>SUM(F245:N245)</f>
        <v>2</v>
      </c>
      <c r="F245" s="63"/>
      <c r="G245" s="63">
        <v>1</v>
      </c>
      <c r="H245" s="63"/>
      <c r="I245" s="63"/>
      <c r="J245" s="63"/>
      <c r="K245" s="63">
        <v>1</v>
      </c>
      <c r="L245" s="63"/>
      <c r="M245" s="63"/>
      <c r="N245" s="63"/>
      <c r="O245" s="64" t="s">
        <v>759</v>
      </c>
      <c r="P245" s="56"/>
      <c r="Q245" s="57"/>
      <c r="R245" s="58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 spans="1:28" ht="14.4" x14ac:dyDescent="0.3">
      <c r="A246" s="50"/>
      <c r="B246" s="61">
        <v>43561</v>
      </c>
      <c r="C246" s="62" t="s">
        <v>26</v>
      </c>
      <c r="D246" s="62" t="s">
        <v>27</v>
      </c>
      <c r="E246" s="53">
        <f>SUM(F246:N246)</f>
        <v>4</v>
      </c>
      <c r="F246" s="63"/>
      <c r="G246" s="63"/>
      <c r="H246" s="63"/>
      <c r="I246" s="63"/>
      <c r="J246" s="63">
        <v>3</v>
      </c>
      <c r="K246" s="63">
        <v>1</v>
      </c>
      <c r="L246" s="63"/>
      <c r="M246" s="63"/>
      <c r="N246" s="63"/>
      <c r="O246" s="64" t="s">
        <v>538</v>
      </c>
      <c r="P246" s="56"/>
      <c r="Q246" s="57"/>
      <c r="R246" s="58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 spans="1:28" ht="14.4" x14ac:dyDescent="0.3">
      <c r="A247" s="50"/>
      <c r="B247" s="61">
        <v>43561</v>
      </c>
      <c r="C247" s="62" t="s">
        <v>41</v>
      </c>
      <c r="D247" s="62" t="s">
        <v>42</v>
      </c>
      <c r="E247" s="53">
        <f>SUM(F247:N247)</f>
        <v>2</v>
      </c>
      <c r="F247" s="63"/>
      <c r="G247" s="63"/>
      <c r="H247" s="63"/>
      <c r="I247" s="63"/>
      <c r="J247" s="63">
        <v>2</v>
      </c>
      <c r="K247" s="63"/>
      <c r="L247" s="63"/>
      <c r="M247" s="63"/>
      <c r="N247" s="63"/>
      <c r="O247" s="64" t="s">
        <v>568</v>
      </c>
      <c r="P247" s="56"/>
      <c r="Q247" s="57"/>
      <c r="R247" s="58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 spans="1:28" ht="14.4" x14ac:dyDescent="0.3">
      <c r="A248" s="50"/>
      <c r="B248" s="61">
        <v>43561</v>
      </c>
      <c r="C248" s="62" t="s">
        <v>92</v>
      </c>
      <c r="D248" s="62" t="s">
        <v>69</v>
      </c>
      <c r="E248" s="53">
        <f>SUM(F248:N248)</f>
        <v>2</v>
      </c>
      <c r="F248" s="63"/>
      <c r="G248" s="63"/>
      <c r="H248" s="63"/>
      <c r="I248" s="63"/>
      <c r="J248" s="63">
        <v>1</v>
      </c>
      <c r="K248" s="63"/>
      <c r="L248" s="63"/>
      <c r="M248" s="63"/>
      <c r="N248" s="63">
        <v>1</v>
      </c>
      <c r="O248" s="64" t="s">
        <v>224</v>
      </c>
      <c r="P248" s="56"/>
      <c r="Q248" s="57"/>
      <c r="R248" s="58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 spans="1:28" ht="14.4" x14ac:dyDescent="0.3">
      <c r="A249" s="50"/>
      <c r="B249" s="61">
        <v>43562</v>
      </c>
      <c r="C249" s="62" t="s">
        <v>20</v>
      </c>
      <c r="D249" s="62" t="s">
        <v>21</v>
      </c>
      <c r="E249" s="53">
        <f>SUM(F249:N249)</f>
        <v>2</v>
      </c>
      <c r="F249" s="63"/>
      <c r="G249" s="63"/>
      <c r="H249" s="63"/>
      <c r="I249" s="63"/>
      <c r="J249" s="63">
        <v>2</v>
      </c>
      <c r="K249" s="63"/>
      <c r="L249" s="63"/>
      <c r="M249" s="63"/>
      <c r="N249" s="63"/>
      <c r="O249" s="64" t="s">
        <v>412</v>
      </c>
      <c r="P249" s="56"/>
      <c r="Q249" s="57"/>
      <c r="R249" s="58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 spans="1:28" ht="14.4" x14ac:dyDescent="0.3">
      <c r="A250" s="50"/>
      <c r="B250" s="61">
        <v>43562</v>
      </c>
      <c r="C250" s="62" t="s">
        <v>23</v>
      </c>
      <c r="D250" s="62" t="s">
        <v>24</v>
      </c>
      <c r="E250" s="53">
        <f>SUM(F250:N250)</f>
        <v>1</v>
      </c>
      <c r="F250" s="63"/>
      <c r="G250" s="63"/>
      <c r="H250" s="63"/>
      <c r="I250" s="63"/>
      <c r="J250" s="63"/>
      <c r="K250" s="63"/>
      <c r="L250" s="63">
        <v>1</v>
      </c>
      <c r="M250" s="63"/>
      <c r="N250" s="63"/>
      <c r="O250" s="64" t="s">
        <v>866</v>
      </c>
      <c r="P250" s="56"/>
      <c r="Q250" s="57"/>
      <c r="R250" s="58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 spans="1:28" ht="14.4" x14ac:dyDescent="0.3">
      <c r="A251" s="50"/>
      <c r="B251" s="61">
        <v>43562</v>
      </c>
      <c r="C251" s="62" t="s">
        <v>17</v>
      </c>
      <c r="D251" s="62" t="s">
        <v>18</v>
      </c>
      <c r="E251" s="53">
        <f>SUM(F251:N251)</f>
        <v>5</v>
      </c>
      <c r="F251" s="63"/>
      <c r="G251" s="63">
        <v>4</v>
      </c>
      <c r="H251" s="63"/>
      <c r="I251" s="63"/>
      <c r="J251" s="63">
        <v>1</v>
      </c>
      <c r="K251" s="63"/>
      <c r="L251" s="63"/>
      <c r="M251" s="63"/>
      <c r="N251" s="63"/>
      <c r="O251" s="64" t="s">
        <v>271</v>
      </c>
      <c r="P251" s="56"/>
      <c r="Q251" s="68" t="s">
        <v>930</v>
      </c>
      <c r="R251" s="58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 spans="1:28" ht="14.4" x14ac:dyDescent="0.3">
      <c r="A252" s="50"/>
      <c r="B252" s="61">
        <v>43562</v>
      </c>
      <c r="C252" s="62" t="s">
        <v>38</v>
      </c>
      <c r="D252" s="62" t="s">
        <v>931</v>
      </c>
      <c r="E252" s="53">
        <f>SUM(F252:N252)</f>
        <v>2</v>
      </c>
      <c r="F252" s="63"/>
      <c r="G252" s="63">
        <v>1</v>
      </c>
      <c r="H252" s="63"/>
      <c r="I252" s="63"/>
      <c r="J252" s="63">
        <v>1</v>
      </c>
      <c r="K252" s="63"/>
      <c r="L252" s="63"/>
      <c r="M252" s="63"/>
      <c r="N252" s="63"/>
      <c r="O252" s="64" t="s">
        <v>500</v>
      </c>
      <c r="P252" s="56"/>
      <c r="Q252" s="57"/>
      <c r="R252" s="58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 spans="1:28" ht="14.4" x14ac:dyDescent="0.3">
      <c r="A253" s="50"/>
      <c r="B253" s="61">
        <v>43562</v>
      </c>
      <c r="C253" s="62" t="s">
        <v>68</v>
      </c>
      <c r="D253" s="62" t="s">
        <v>69</v>
      </c>
      <c r="E253" s="53">
        <f>SUM(F253:N253)</f>
        <v>1</v>
      </c>
      <c r="F253" s="63"/>
      <c r="G253" s="63">
        <v>1</v>
      </c>
      <c r="H253" s="63"/>
      <c r="I253" s="63"/>
      <c r="J253" s="63"/>
      <c r="K253" s="63"/>
      <c r="L253" s="63"/>
      <c r="M253" s="63"/>
      <c r="N253" s="63"/>
      <c r="O253" s="64" t="s">
        <v>502</v>
      </c>
      <c r="P253" s="56"/>
      <c r="Q253" s="57"/>
      <c r="R253" s="58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 spans="1:28" ht="14.4" x14ac:dyDescent="0.3">
      <c r="A254" s="50"/>
      <c r="B254" s="61">
        <v>43562</v>
      </c>
      <c r="C254" s="62" t="s">
        <v>14</v>
      </c>
      <c r="D254" s="62" t="s">
        <v>15</v>
      </c>
      <c r="E254" s="53">
        <f>SUM(F254:N254)</f>
        <v>7</v>
      </c>
      <c r="F254" s="63"/>
      <c r="G254" s="63">
        <v>1</v>
      </c>
      <c r="H254" s="63"/>
      <c r="I254" s="63"/>
      <c r="J254" s="63">
        <v>3</v>
      </c>
      <c r="K254" s="63">
        <v>2</v>
      </c>
      <c r="L254" s="63">
        <v>1</v>
      </c>
      <c r="M254" s="63"/>
      <c r="N254" s="63"/>
      <c r="O254" s="64" t="s">
        <v>821</v>
      </c>
      <c r="P254" s="56"/>
      <c r="Q254" s="57"/>
      <c r="R254" s="58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 spans="1:28" ht="14.4" x14ac:dyDescent="0.3">
      <c r="A255" s="50"/>
      <c r="B255" s="61">
        <v>43565</v>
      </c>
      <c r="C255" s="62" t="s">
        <v>35</v>
      </c>
      <c r="D255" s="62" t="s">
        <v>36</v>
      </c>
      <c r="E255" s="53">
        <f>SUM(F255:N255)</f>
        <v>2</v>
      </c>
      <c r="F255" s="63"/>
      <c r="G255" s="63"/>
      <c r="H255" s="63"/>
      <c r="I255" s="63"/>
      <c r="J255" s="63">
        <v>1</v>
      </c>
      <c r="K255" s="63">
        <v>1</v>
      </c>
      <c r="L255" s="63"/>
      <c r="M255" s="63"/>
      <c r="N255" s="63"/>
      <c r="O255" s="64" t="s">
        <v>470</v>
      </c>
      <c r="P255" s="56"/>
      <c r="Q255" s="68" t="s">
        <v>932</v>
      </c>
      <c r="R255" s="58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 spans="1:28" ht="14.4" x14ac:dyDescent="0.3">
      <c r="A256" s="50"/>
      <c r="B256" s="61">
        <v>43568</v>
      </c>
      <c r="C256" s="62" t="s">
        <v>41</v>
      </c>
      <c r="D256" s="62" t="s">
        <v>42</v>
      </c>
      <c r="E256" s="53">
        <f>SUM(F256:N256)</f>
        <v>2</v>
      </c>
      <c r="F256" s="63">
        <v>1</v>
      </c>
      <c r="G256" s="63"/>
      <c r="H256" s="63"/>
      <c r="I256" s="63"/>
      <c r="J256" s="63">
        <v>1</v>
      </c>
      <c r="K256" s="63"/>
      <c r="L256" s="63"/>
      <c r="M256" s="63"/>
      <c r="N256" s="63"/>
      <c r="O256" s="64" t="s">
        <v>569</v>
      </c>
      <c r="P256" s="56"/>
      <c r="Q256" s="57"/>
      <c r="R256" s="58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 spans="1:28" ht="14.4" x14ac:dyDescent="0.3">
      <c r="A257" s="50"/>
      <c r="B257" s="61">
        <v>43568</v>
      </c>
      <c r="C257" s="62" t="s">
        <v>68</v>
      </c>
      <c r="D257" s="62" t="s">
        <v>69</v>
      </c>
      <c r="E257" s="53">
        <f>SUM(F257:N257)</f>
        <v>1</v>
      </c>
      <c r="F257" s="63"/>
      <c r="G257" s="63"/>
      <c r="H257" s="63"/>
      <c r="I257" s="63"/>
      <c r="J257" s="63"/>
      <c r="K257" s="63"/>
      <c r="L257" s="63">
        <v>1</v>
      </c>
      <c r="M257" s="63"/>
      <c r="N257" s="63"/>
      <c r="O257" s="64" t="s">
        <v>700</v>
      </c>
      <c r="P257" s="56"/>
      <c r="Q257" s="57"/>
      <c r="R257" s="58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 spans="1:28" ht="14.4" x14ac:dyDescent="0.3">
      <c r="A258" s="50"/>
      <c r="B258" s="61">
        <v>43568</v>
      </c>
      <c r="C258" s="62" t="s">
        <v>17</v>
      </c>
      <c r="D258" s="62" t="s">
        <v>18</v>
      </c>
      <c r="E258" s="53">
        <f>SUM(F258:N258)</f>
        <v>2</v>
      </c>
      <c r="F258" s="63"/>
      <c r="G258" s="63"/>
      <c r="H258" s="63"/>
      <c r="I258" s="63"/>
      <c r="J258" s="63">
        <v>1</v>
      </c>
      <c r="K258" s="63">
        <v>1</v>
      </c>
      <c r="L258" s="63"/>
      <c r="M258" s="63"/>
      <c r="N258" s="63"/>
      <c r="O258" s="64" t="s">
        <v>272</v>
      </c>
      <c r="P258" s="56"/>
      <c r="Q258" s="57"/>
      <c r="R258" s="58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 spans="1:28" ht="14.4" x14ac:dyDescent="0.3">
      <c r="A259" s="50"/>
      <c r="B259" s="61">
        <v>43569</v>
      </c>
      <c r="C259" s="62" t="s">
        <v>26</v>
      </c>
      <c r="D259" s="62" t="s">
        <v>27</v>
      </c>
      <c r="E259" s="53">
        <f>SUM(F259:N259)</f>
        <v>2</v>
      </c>
      <c r="F259" s="63"/>
      <c r="G259" s="63"/>
      <c r="H259" s="63"/>
      <c r="I259" s="63"/>
      <c r="J259" s="63">
        <v>1</v>
      </c>
      <c r="K259" s="63">
        <v>1</v>
      </c>
      <c r="L259" s="63"/>
      <c r="M259" s="63"/>
      <c r="N259" s="63"/>
      <c r="O259" s="64" t="s">
        <v>539</v>
      </c>
      <c r="P259" s="56"/>
      <c r="Q259" s="57"/>
      <c r="R259" s="58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 spans="1:28" ht="14.4" x14ac:dyDescent="0.3">
      <c r="A260" s="50"/>
      <c r="B260" s="61">
        <v>43569</v>
      </c>
      <c r="C260" s="62" t="s">
        <v>59</v>
      </c>
      <c r="D260" s="62" t="s">
        <v>60</v>
      </c>
      <c r="E260" s="53">
        <f>SUM(F260:N260)</f>
        <v>1</v>
      </c>
      <c r="F260" s="63"/>
      <c r="G260" s="63"/>
      <c r="H260" s="63"/>
      <c r="I260" s="63"/>
      <c r="J260" s="63">
        <v>1</v>
      </c>
      <c r="K260" s="63"/>
      <c r="L260" s="63"/>
      <c r="M260" s="63"/>
      <c r="N260" s="63"/>
      <c r="O260" s="64" t="s">
        <v>235</v>
      </c>
      <c r="P260" s="56"/>
      <c r="Q260" s="57"/>
      <c r="R260" s="58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 spans="1:28" ht="14.4" x14ac:dyDescent="0.3">
      <c r="A261" s="50"/>
      <c r="B261" s="61">
        <v>43569</v>
      </c>
      <c r="C261" s="62" t="s">
        <v>17</v>
      </c>
      <c r="D261" s="62" t="s">
        <v>18</v>
      </c>
      <c r="E261" s="53">
        <f>SUM(F261:N261)</f>
        <v>1</v>
      </c>
      <c r="F261" s="63"/>
      <c r="G261" s="63"/>
      <c r="H261" s="63"/>
      <c r="I261" s="63"/>
      <c r="J261" s="63">
        <v>1</v>
      </c>
      <c r="K261" s="63"/>
      <c r="L261" s="63"/>
      <c r="M261" s="63"/>
      <c r="N261" s="63"/>
      <c r="O261" s="64" t="s">
        <v>235</v>
      </c>
      <c r="P261" s="56"/>
      <c r="Q261" s="57"/>
      <c r="R261" s="58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 spans="1:28" ht="14.4" x14ac:dyDescent="0.3">
      <c r="A262" s="50"/>
      <c r="B262" s="61">
        <v>43569</v>
      </c>
      <c r="C262" s="62" t="s">
        <v>23</v>
      </c>
      <c r="D262" s="62" t="s">
        <v>24</v>
      </c>
      <c r="E262" s="53">
        <f>SUM(F262:N262)</f>
        <v>1</v>
      </c>
      <c r="F262" s="63"/>
      <c r="G262" s="63"/>
      <c r="H262" s="63"/>
      <c r="I262" s="63"/>
      <c r="J262" s="63"/>
      <c r="K262" s="63"/>
      <c r="L262" s="63">
        <v>1</v>
      </c>
      <c r="M262" s="63"/>
      <c r="N262" s="63"/>
      <c r="O262" s="64" t="s">
        <v>867</v>
      </c>
      <c r="P262" s="56"/>
      <c r="Q262" s="57"/>
      <c r="R262" s="58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 spans="1:28" ht="14.4" x14ac:dyDescent="0.3">
      <c r="A263" s="50"/>
      <c r="B263" s="61">
        <v>43569</v>
      </c>
      <c r="C263" s="62" t="s">
        <v>65</v>
      </c>
      <c r="D263" s="62" t="s">
        <v>66</v>
      </c>
      <c r="E263" s="53">
        <f>SUM(F263:N263)</f>
        <v>1</v>
      </c>
      <c r="F263" s="63"/>
      <c r="G263" s="63"/>
      <c r="H263" s="63"/>
      <c r="I263" s="63"/>
      <c r="J263" s="63">
        <v>1</v>
      </c>
      <c r="K263" s="63"/>
      <c r="L263" s="63"/>
      <c r="M263" s="63"/>
      <c r="N263" s="63"/>
      <c r="O263" s="64" t="s">
        <v>774</v>
      </c>
      <c r="P263" s="56"/>
      <c r="Q263" s="57"/>
      <c r="R263" s="58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 spans="1:28" ht="14.4" x14ac:dyDescent="0.3">
      <c r="A264" s="50"/>
      <c r="B264" s="61">
        <v>43570</v>
      </c>
      <c r="C264" s="62" t="s">
        <v>65</v>
      </c>
      <c r="D264" s="62" t="s">
        <v>66</v>
      </c>
      <c r="E264" s="53">
        <f>SUM(F264:N264)</f>
        <v>2</v>
      </c>
      <c r="F264" s="63"/>
      <c r="G264" s="63"/>
      <c r="H264" s="63"/>
      <c r="I264" s="63"/>
      <c r="J264" s="63">
        <v>1</v>
      </c>
      <c r="K264" s="63">
        <v>1</v>
      </c>
      <c r="L264" s="63"/>
      <c r="M264" s="63"/>
      <c r="N264" s="63"/>
      <c r="O264" s="64" t="s">
        <v>775</v>
      </c>
      <c r="P264" s="56"/>
      <c r="Q264" s="57"/>
      <c r="R264" s="58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 spans="1:28" ht="14.4" x14ac:dyDescent="0.3">
      <c r="A265" s="50"/>
      <c r="B265" s="61">
        <v>43572</v>
      </c>
      <c r="C265" s="62" t="s">
        <v>17</v>
      </c>
      <c r="D265" s="62" t="s">
        <v>18</v>
      </c>
      <c r="E265" s="53">
        <f>SUM(F265:N265)</f>
        <v>1</v>
      </c>
      <c r="F265" s="63"/>
      <c r="G265" s="63"/>
      <c r="H265" s="63"/>
      <c r="I265" s="63"/>
      <c r="J265" s="63">
        <v>1</v>
      </c>
      <c r="K265" s="63"/>
      <c r="L265" s="63"/>
      <c r="M265" s="63"/>
      <c r="N265" s="63"/>
      <c r="O265" s="64" t="s">
        <v>273</v>
      </c>
      <c r="P265" s="56"/>
      <c r="Q265" s="68" t="s">
        <v>933</v>
      </c>
      <c r="R265" s="58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 spans="1:28" ht="14.4" x14ac:dyDescent="0.3">
      <c r="A266" s="50"/>
      <c r="B266" s="61">
        <v>43573</v>
      </c>
      <c r="C266" s="62" t="s">
        <v>32</v>
      </c>
      <c r="D266" s="62" t="s">
        <v>33</v>
      </c>
      <c r="E266" s="53">
        <v>7</v>
      </c>
      <c r="F266" s="63"/>
      <c r="G266" s="63"/>
      <c r="H266" s="63">
        <v>1</v>
      </c>
      <c r="I266" s="63">
        <v>4</v>
      </c>
      <c r="J266" s="63">
        <v>2</v>
      </c>
      <c r="K266" s="63"/>
      <c r="L266" s="63"/>
      <c r="M266" s="63"/>
      <c r="N266" s="63"/>
      <c r="O266" s="64" t="s">
        <v>640</v>
      </c>
      <c r="P266" s="56"/>
      <c r="Q266" s="57"/>
      <c r="R266" s="58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 spans="1:28" ht="14.4" x14ac:dyDescent="0.3">
      <c r="A267" s="50"/>
      <c r="B267" s="61">
        <v>43574</v>
      </c>
      <c r="C267" s="62" t="s">
        <v>35</v>
      </c>
      <c r="D267" s="62" t="s">
        <v>36</v>
      </c>
      <c r="E267" s="53">
        <f>SUM(F267:N267)</f>
        <v>3</v>
      </c>
      <c r="F267" s="63"/>
      <c r="G267" s="63">
        <v>1</v>
      </c>
      <c r="H267" s="63"/>
      <c r="I267" s="63"/>
      <c r="J267" s="63"/>
      <c r="K267" s="63"/>
      <c r="L267" s="63">
        <v>2</v>
      </c>
      <c r="M267" s="63"/>
      <c r="N267" s="63"/>
      <c r="O267" s="64" t="s">
        <v>236</v>
      </c>
      <c r="P267" s="56"/>
      <c r="Q267" s="68" t="s">
        <v>934</v>
      </c>
      <c r="R267" s="58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 spans="1:28" ht="14.4" x14ac:dyDescent="0.3">
      <c r="A268" s="50"/>
      <c r="B268" s="61">
        <v>43574</v>
      </c>
      <c r="C268" s="62" t="s">
        <v>59</v>
      </c>
      <c r="D268" s="62" t="s">
        <v>60</v>
      </c>
      <c r="E268" s="53">
        <f>SUM(F268:N268)</f>
        <v>3</v>
      </c>
      <c r="F268" s="63"/>
      <c r="G268" s="63">
        <v>1</v>
      </c>
      <c r="H268" s="63"/>
      <c r="I268" s="63"/>
      <c r="J268" s="63"/>
      <c r="K268" s="63"/>
      <c r="L268" s="63">
        <v>2</v>
      </c>
      <c r="M268" s="63"/>
      <c r="N268" s="63"/>
      <c r="O268" s="64" t="s">
        <v>236</v>
      </c>
      <c r="P268" s="56"/>
      <c r="Q268" s="57"/>
      <c r="R268" s="58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 spans="1:28" ht="14.4" x14ac:dyDescent="0.3">
      <c r="A269" s="50"/>
      <c r="B269" s="61">
        <v>43574</v>
      </c>
      <c r="C269" s="62" t="s">
        <v>20</v>
      </c>
      <c r="D269" s="62" t="s">
        <v>21</v>
      </c>
      <c r="E269" s="53">
        <f>SUM(F269:N269)</f>
        <v>3</v>
      </c>
      <c r="F269" s="63"/>
      <c r="G269" s="63"/>
      <c r="H269" s="63"/>
      <c r="I269" s="63"/>
      <c r="J269" s="63">
        <v>2</v>
      </c>
      <c r="K269" s="63"/>
      <c r="L269" s="63"/>
      <c r="M269" s="63"/>
      <c r="N269" s="63">
        <v>1</v>
      </c>
      <c r="O269" s="64" t="s">
        <v>224</v>
      </c>
      <c r="P269" s="56"/>
      <c r="Q269" s="57"/>
      <c r="R269" s="58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 spans="1:28" ht="14.4" x14ac:dyDescent="0.3">
      <c r="A270" s="50"/>
      <c r="B270" s="61">
        <v>43574</v>
      </c>
      <c r="C270" s="62" t="s">
        <v>77</v>
      </c>
      <c r="D270" s="62" t="s">
        <v>78</v>
      </c>
      <c r="E270" s="53">
        <f>SUM(F270:N270)</f>
        <v>1</v>
      </c>
      <c r="F270" s="63"/>
      <c r="G270" s="63"/>
      <c r="H270" s="63"/>
      <c r="I270" s="63"/>
      <c r="J270" s="63">
        <v>1</v>
      </c>
      <c r="K270" s="63"/>
      <c r="L270" s="63"/>
      <c r="M270" s="63"/>
      <c r="N270" s="63"/>
      <c r="O270" s="64" t="s">
        <v>687</v>
      </c>
      <c r="P270" s="56"/>
      <c r="Q270" s="57"/>
      <c r="R270" s="58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 spans="1:28" ht="14.4" x14ac:dyDescent="0.3">
      <c r="A271" s="50"/>
      <c r="B271" s="61">
        <v>43574</v>
      </c>
      <c r="C271" s="62" t="s">
        <v>44</v>
      </c>
      <c r="D271" s="62" t="s">
        <v>45</v>
      </c>
      <c r="E271" s="53">
        <f>SUM(F271:N271)</f>
        <v>1</v>
      </c>
      <c r="F271" s="63"/>
      <c r="G271" s="63"/>
      <c r="H271" s="63"/>
      <c r="I271" s="63"/>
      <c r="J271" s="63">
        <v>1</v>
      </c>
      <c r="K271" s="63"/>
      <c r="L271" s="63"/>
      <c r="M271" s="63"/>
      <c r="N271" s="63"/>
      <c r="O271" s="64" t="s">
        <v>380</v>
      </c>
      <c r="P271" s="56"/>
      <c r="Q271" s="57"/>
      <c r="R271" s="58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 spans="1:28" ht="14.4" x14ac:dyDescent="0.3">
      <c r="A272" s="50"/>
      <c r="B272" s="61">
        <v>43574</v>
      </c>
      <c r="C272" s="62" t="s">
        <v>17</v>
      </c>
      <c r="D272" s="62" t="s">
        <v>18</v>
      </c>
      <c r="E272" s="53">
        <f>SUM(F272:N272)</f>
        <v>3</v>
      </c>
      <c r="F272" s="63"/>
      <c r="G272" s="63">
        <v>1</v>
      </c>
      <c r="H272" s="63"/>
      <c r="I272" s="63"/>
      <c r="J272" s="63">
        <v>1</v>
      </c>
      <c r="K272" s="63"/>
      <c r="L272" s="63"/>
      <c r="M272" s="63">
        <v>1</v>
      </c>
      <c r="N272" s="63"/>
      <c r="O272" s="64" t="s">
        <v>274</v>
      </c>
      <c r="P272" s="56"/>
      <c r="Q272" s="68" t="s">
        <v>935</v>
      </c>
      <c r="R272" s="58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 spans="1:28" ht="14.4" x14ac:dyDescent="0.3">
      <c r="A273" s="50"/>
      <c r="B273" s="61">
        <v>43574</v>
      </c>
      <c r="C273" s="62" t="s">
        <v>32</v>
      </c>
      <c r="D273" s="62" t="s">
        <v>33</v>
      </c>
      <c r="E273" s="53">
        <f>SUM(F273:N273)</f>
        <v>4</v>
      </c>
      <c r="F273" s="63"/>
      <c r="G273" s="63"/>
      <c r="H273" s="63">
        <v>1</v>
      </c>
      <c r="I273" s="63">
        <v>1</v>
      </c>
      <c r="J273" s="63">
        <v>2</v>
      </c>
      <c r="K273" s="63"/>
      <c r="L273" s="63"/>
      <c r="M273" s="63"/>
      <c r="N273" s="63"/>
      <c r="O273" s="64" t="s">
        <v>641</v>
      </c>
      <c r="P273" s="56"/>
      <c r="Q273" s="57"/>
      <c r="R273" s="58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 spans="1:28" ht="14.4" x14ac:dyDescent="0.3">
      <c r="A274" s="50"/>
      <c r="B274" s="61">
        <v>43574</v>
      </c>
      <c r="C274" s="62" t="s">
        <v>97</v>
      </c>
      <c r="D274" s="62" t="s">
        <v>98</v>
      </c>
      <c r="E274" s="53">
        <f>SUM(F274:N274)</f>
        <v>1</v>
      </c>
      <c r="F274" s="63"/>
      <c r="G274" s="63">
        <v>1</v>
      </c>
      <c r="H274" s="63"/>
      <c r="I274" s="63"/>
      <c r="J274" s="63"/>
      <c r="K274" s="63"/>
      <c r="L274" s="63"/>
      <c r="M274" s="63"/>
      <c r="N274" s="63"/>
      <c r="O274" s="64" t="s">
        <v>782</v>
      </c>
      <c r="P274" s="56"/>
      <c r="Q274" s="57"/>
      <c r="R274" s="58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 spans="1:28" ht="14.4" x14ac:dyDescent="0.3">
      <c r="A275" s="50"/>
      <c r="B275" s="61">
        <v>43574</v>
      </c>
      <c r="C275" s="62" t="s">
        <v>23</v>
      </c>
      <c r="D275" s="62" t="s">
        <v>24</v>
      </c>
      <c r="E275" s="53">
        <f>SUM(F275:N275)</f>
        <v>2</v>
      </c>
      <c r="F275" s="63"/>
      <c r="G275" s="63"/>
      <c r="H275" s="63">
        <v>1</v>
      </c>
      <c r="I275" s="63"/>
      <c r="J275" s="63">
        <v>1</v>
      </c>
      <c r="K275" s="63"/>
      <c r="L275" s="63"/>
      <c r="M275" s="63"/>
      <c r="N275" s="63"/>
      <c r="O275" s="64" t="s">
        <v>868</v>
      </c>
      <c r="P275" s="56"/>
      <c r="Q275" s="57"/>
      <c r="R275" s="58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 spans="1:28" ht="14.4" x14ac:dyDescent="0.3">
      <c r="A276" s="50"/>
      <c r="B276" s="61">
        <v>43574</v>
      </c>
      <c r="C276" s="62" t="s">
        <v>115</v>
      </c>
      <c r="D276" s="62" t="s">
        <v>116</v>
      </c>
      <c r="E276" s="53">
        <f>SUM(F276:N276)</f>
        <v>3</v>
      </c>
      <c r="F276" s="63">
        <v>1</v>
      </c>
      <c r="G276" s="63"/>
      <c r="H276" s="63"/>
      <c r="I276" s="63">
        <v>1</v>
      </c>
      <c r="J276" s="63">
        <v>1</v>
      </c>
      <c r="K276" s="63"/>
      <c r="L276" s="63"/>
      <c r="M276" s="63"/>
      <c r="N276" s="63"/>
      <c r="O276" s="64" t="s">
        <v>205</v>
      </c>
      <c r="P276" s="56"/>
      <c r="Q276" s="57"/>
      <c r="R276" s="58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 spans="1:28" ht="14.4" x14ac:dyDescent="0.3">
      <c r="A277" s="50"/>
      <c r="B277" s="61">
        <v>43575</v>
      </c>
      <c r="C277" s="62" t="s">
        <v>20</v>
      </c>
      <c r="D277" s="62" t="s">
        <v>21</v>
      </c>
      <c r="E277" s="53">
        <f>SUM(F277:N277)</f>
        <v>1</v>
      </c>
      <c r="F277" s="63"/>
      <c r="G277" s="63"/>
      <c r="H277" s="63"/>
      <c r="I277" s="63"/>
      <c r="J277" s="63">
        <v>1</v>
      </c>
      <c r="K277" s="63"/>
      <c r="L277" s="63"/>
      <c r="M277" s="63"/>
      <c r="N277" s="63"/>
      <c r="O277" s="64" t="s">
        <v>413</v>
      </c>
      <c r="P277" s="56"/>
      <c r="Q277" s="57"/>
      <c r="R277" s="58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 spans="1:28" ht="14.4" x14ac:dyDescent="0.3">
      <c r="A278" s="50"/>
      <c r="B278" s="61">
        <v>43575</v>
      </c>
      <c r="C278" s="62" t="s">
        <v>77</v>
      </c>
      <c r="D278" s="62" t="s">
        <v>78</v>
      </c>
      <c r="E278" s="53">
        <f>SUM(F278:N278)</f>
        <v>2</v>
      </c>
      <c r="F278" s="63"/>
      <c r="G278" s="63"/>
      <c r="H278" s="63"/>
      <c r="I278" s="63"/>
      <c r="J278" s="63">
        <v>2</v>
      </c>
      <c r="K278" s="63"/>
      <c r="L278" s="63"/>
      <c r="M278" s="63"/>
      <c r="N278" s="63"/>
      <c r="O278" s="64" t="s">
        <v>688</v>
      </c>
      <c r="P278" s="56"/>
      <c r="Q278" s="57"/>
      <c r="R278" s="58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 spans="1:28" ht="14.4" x14ac:dyDescent="0.3">
      <c r="A279" s="50"/>
      <c r="B279" s="61">
        <v>43575</v>
      </c>
      <c r="C279" s="62" t="s">
        <v>44</v>
      </c>
      <c r="D279" s="62" t="s">
        <v>45</v>
      </c>
      <c r="E279" s="53">
        <f>SUM(F279:N279)</f>
        <v>1</v>
      </c>
      <c r="F279" s="63"/>
      <c r="G279" s="63">
        <v>1</v>
      </c>
      <c r="H279" s="63"/>
      <c r="I279" s="63"/>
      <c r="J279" s="63"/>
      <c r="K279" s="63"/>
      <c r="L279" s="63"/>
      <c r="M279" s="63"/>
      <c r="N279" s="63"/>
      <c r="O279" s="64" t="s">
        <v>381</v>
      </c>
      <c r="P279" s="56"/>
      <c r="Q279" s="57"/>
      <c r="R279" s="58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 spans="1:28" ht="14.4" x14ac:dyDescent="0.3">
      <c r="A280" s="50"/>
      <c r="B280" s="61">
        <v>43575</v>
      </c>
      <c r="C280" s="62" t="s">
        <v>23</v>
      </c>
      <c r="D280" s="62" t="s">
        <v>24</v>
      </c>
      <c r="E280" s="53">
        <f>SUM(F280:N280)</f>
        <v>2</v>
      </c>
      <c r="F280" s="63"/>
      <c r="G280" s="63">
        <v>1</v>
      </c>
      <c r="H280" s="63">
        <v>1</v>
      </c>
      <c r="I280" s="63"/>
      <c r="J280" s="63"/>
      <c r="K280" s="63"/>
      <c r="L280" s="63"/>
      <c r="M280" s="63"/>
      <c r="N280" s="63"/>
      <c r="O280" s="64" t="s">
        <v>869</v>
      </c>
      <c r="P280" s="56"/>
      <c r="Q280" s="57"/>
      <c r="R280" s="58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 spans="1:28" ht="14.4" x14ac:dyDescent="0.3">
      <c r="A281" s="50"/>
      <c r="B281" s="61">
        <v>43575</v>
      </c>
      <c r="C281" s="62" t="s">
        <v>17</v>
      </c>
      <c r="D281" s="62" t="s">
        <v>18</v>
      </c>
      <c r="E281" s="53">
        <f>SUM(F281:N281)</f>
        <v>5</v>
      </c>
      <c r="F281" s="63"/>
      <c r="G281" s="63">
        <v>1</v>
      </c>
      <c r="H281" s="63"/>
      <c r="I281" s="63"/>
      <c r="J281" s="63">
        <v>3</v>
      </c>
      <c r="K281" s="63">
        <v>1</v>
      </c>
      <c r="L281" s="63"/>
      <c r="M281" s="63"/>
      <c r="N281" s="63"/>
      <c r="O281" s="64" t="s">
        <v>275</v>
      </c>
      <c r="P281" s="56"/>
      <c r="Q281" s="68" t="s">
        <v>936</v>
      </c>
      <c r="R281" s="58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 spans="1:28" ht="14.4" x14ac:dyDescent="0.3">
      <c r="A282" s="50"/>
      <c r="B282" s="61">
        <v>43575</v>
      </c>
      <c r="C282" s="62" t="s">
        <v>32</v>
      </c>
      <c r="D282" s="62" t="s">
        <v>33</v>
      </c>
      <c r="E282" s="53">
        <f>SUM(F282:N282)</f>
        <v>1</v>
      </c>
      <c r="F282" s="63"/>
      <c r="G282" s="63"/>
      <c r="H282" s="63"/>
      <c r="I282" s="63">
        <v>1</v>
      </c>
      <c r="J282" s="63"/>
      <c r="K282" s="63"/>
      <c r="L282" s="63"/>
      <c r="M282" s="63"/>
      <c r="N282" s="63"/>
      <c r="O282" s="64" t="s">
        <v>642</v>
      </c>
      <c r="P282" s="56"/>
      <c r="Q282" s="57"/>
      <c r="R282" s="58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 spans="1:28" ht="14.4" x14ac:dyDescent="0.3">
      <c r="A283" s="50"/>
      <c r="B283" s="61">
        <v>43576</v>
      </c>
      <c r="C283" s="62" t="s">
        <v>14</v>
      </c>
      <c r="D283" s="62" t="s">
        <v>15</v>
      </c>
      <c r="E283" s="53">
        <f>SUM(F283:N283)</f>
        <v>3</v>
      </c>
      <c r="F283" s="63"/>
      <c r="G283" s="63">
        <v>1</v>
      </c>
      <c r="H283" s="63"/>
      <c r="I283" s="63"/>
      <c r="J283" s="63"/>
      <c r="K283" s="63">
        <v>2</v>
      </c>
      <c r="L283" s="63"/>
      <c r="M283" s="63"/>
      <c r="N283" s="63"/>
      <c r="O283" s="64" t="s">
        <v>822</v>
      </c>
      <c r="P283" s="56"/>
      <c r="Q283" s="57"/>
      <c r="R283" s="58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 spans="1:28" ht="14.4" x14ac:dyDescent="0.3">
      <c r="A284" s="50"/>
      <c r="B284" s="61">
        <v>43576</v>
      </c>
      <c r="C284" s="62" t="s">
        <v>56</v>
      </c>
      <c r="D284" s="62" t="s">
        <v>57</v>
      </c>
      <c r="E284" s="53">
        <f>SUM(F284:N284)</f>
        <v>2</v>
      </c>
      <c r="F284" s="63"/>
      <c r="G284" s="63"/>
      <c r="H284" s="63"/>
      <c r="I284" s="63"/>
      <c r="J284" s="63"/>
      <c r="K284" s="63">
        <v>2</v>
      </c>
      <c r="L284" s="63"/>
      <c r="M284" s="63"/>
      <c r="N284" s="63"/>
      <c r="O284" s="64" t="s">
        <v>210</v>
      </c>
      <c r="P284" s="56"/>
      <c r="Q284" s="57"/>
      <c r="R284" s="58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 spans="1:28" ht="14.4" x14ac:dyDescent="0.3">
      <c r="A285" s="50"/>
      <c r="B285" s="61">
        <v>43576</v>
      </c>
      <c r="C285" s="62" t="s">
        <v>26</v>
      </c>
      <c r="D285" s="62" t="s">
        <v>27</v>
      </c>
      <c r="E285" s="53">
        <f>SUM(F285:N285)</f>
        <v>2</v>
      </c>
      <c r="F285" s="63"/>
      <c r="G285" s="63"/>
      <c r="H285" s="63"/>
      <c r="I285" s="63">
        <v>2</v>
      </c>
      <c r="J285" s="63"/>
      <c r="K285" s="63"/>
      <c r="L285" s="63"/>
      <c r="M285" s="63"/>
      <c r="N285" s="63"/>
      <c r="O285" s="64" t="s">
        <v>540</v>
      </c>
      <c r="P285" s="56"/>
      <c r="Q285" s="57"/>
      <c r="R285" s="58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 spans="1:28" ht="14.4" x14ac:dyDescent="0.3">
      <c r="A286" s="50"/>
      <c r="B286" s="61">
        <v>43576</v>
      </c>
      <c r="C286" s="62" t="s">
        <v>17</v>
      </c>
      <c r="D286" s="62" t="s">
        <v>18</v>
      </c>
      <c r="E286" s="53">
        <f>SUM(F286:N286)</f>
        <v>1</v>
      </c>
      <c r="F286" s="63"/>
      <c r="G286" s="63"/>
      <c r="H286" s="63"/>
      <c r="I286" s="63"/>
      <c r="J286" s="63">
        <v>1</v>
      </c>
      <c r="K286" s="63"/>
      <c r="L286" s="63"/>
      <c r="M286" s="63"/>
      <c r="N286" s="63"/>
      <c r="O286" s="64" t="s">
        <v>276</v>
      </c>
      <c r="P286" s="56"/>
      <c r="Q286" s="68" t="s">
        <v>937</v>
      </c>
      <c r="R286" s="58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 spans="1:28" ht="14.4" x14ac:dyDescent="0.3">
      <c r="A287" s="50"/>
      <c r="B287" s="61">
        <v>43576</v>
      </c>
      <c r="C287" s="62" t="s">
        <v>97</v>
      </c>
      <c r="D287" s="62" t="s">
        <v>98</v>
      </c>
      <c r="E287" s="53">
        <f>SUM(F287:N287)</f>
        <v>1</v>
      </c>
      <c r="F287" s="63"/>
      <c r="G287" s="63"/>
      <c r="H287" s="63"/>
      <c r="I287" s="63"/>
      <c r="J287" s="63">
        <v>1</v>
      </c>
      <c r="K287" s="63"/>
      <c r="L287" s="63"/>
      <c r="M287" s="63"/>
      <c r="N287" s="63"/>
      <c r="O287" s="64" t="s">
        <v>783</v>
      </c>
      <c r="P287" s="56"/>
      <c r="Q287" s="57"/>
      <c r="R287" s="58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 spans="1:28" ht="14.4" x14ac:dyDescent="0.3">
      <c r="A288" s="50"/>
      <c r="B288" s="61">
        <v>43577</v>
      </c>
      <c r="C288" s="62" t="s">
        <v>77</v>
      </c>
      <c r="D288" s="62" t="s">
        <v>78</v>
      </c>
      <c r="E288" s="53">
        <f>SUM(F288:N288)</f>
        <v>3</v>
      </c>
      <c r="F288" s="63"/>
      <c r="G288" s="63">
        <v>1</v>
      </c>
      <c r="H288" s="63"/>
      <c r="I288" s="63"/>
      <c r="J288" s="63">
        <v>2</v>
      </c>
      <c r="K288" s="63"/>
      <c r="L288" s="63"/>
      <c r="M288" s="63"/>
      <c r="N288" s="63"/>
      <c r="O288" s="64" t="s">
        <v>689</v>
      </c>
      <c r="P288" s="56"/>
      <c r="Q288" s="57"/>
      <c r="R288" s="58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 spans="1:28" ht="14.4" x14ac:dyDescent="0.3">
      <c r="A289" s="50"/>
      <c r="B289" s="61">
        <v>43577</v>
      </c>
      <c r="C289" s="62" t="s">
        <v>68</v>
      </c>
      <c r="D289" s="62" t="s">
        <v>69</v>
      </c>
      <c r="E289" s="53">
        <f>SUM(F289:N289)</f>
        <v>3</v>
      </c>
      <c r="F289" s="63"/>
      <c r="G289" s="63">
        <v>1</v>
      </c>
      <c r="H289" s="63">
        <v>1</v>
      </c>
      <c r="I289" s="63"/>
      <c r="J289" s="63">
        <v>1</v>
      </c>
      <c r="K289" s="63"/>
      <c r="L289" s="63"/>
      <c r="M289" s="63"/>
      <c r="N289" s="63"/>
      <c r="O289" s="64" t="s">
        <v>701</v>
      </c>
      <c r="P289" s="56"/>
      <c r="Q289" s="57"/>
      <c r="R289" s="58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 spans="1:28" ht="14.4" x14ac:dyDescent="0.3">
      <c r="A290" s="50"/>
      <c r="B290" s="61">
        <v>43577</v>
      </c>
      <c r="C290" s="62" t="s">
        <v>166</v>
      </c>
      <c r="D290" s="62" t="s">
        <v>167</v>
      </c>
      <c r="E290" s="53">
        <f>SUM(F290:N290)</f>
        <v>1</v>
      </c>
      <c r="F290" s="63"/>
      <c r="G290" s="63"/>
      <c r="H290" s="63"/>
      <c r="I290" s="63"/>
      <c r="J290" s="63">
        <v>1</v>
      </c>
      <c r="K290" s="63"/>
      <c r="L290" s="63"/>
      <c r="M290" s="63"/>
      <c r="N290" s="63"/>
      <c r="O290" s="64" t="s">
        <v>595</v>
      </c>
      <c r="P290" s="56"/>
      <c r="Q290" s="57"/>
      <c r="R290" s="58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 spans="1:28" ht="14.4" x14ac:dyDescent="0.3">
      <c r="A291" s="50"/>
      <c r="B291" s="61">
        <v>43577</v>
      </c>
      <c r="C291" s="62" t="s">
        <v>47</v>
      </c>
      <c r="D291" s="62" t="s">
        <v>48</v>
      </c>
      <c r="E291" s="53">
        <f>SUM(F291:N291)</f>
        <v>5</v>
      </c>
      <c r="F291" s="63"/>
      <c r="G291" s="63"/>
      <c r="H291" s="63">
        <v>1</v>
      </c>
      <c r="I291" s="63">
        <v>1</v>
      </c>
      <c r="J291" s="63">
        <v>1</v>
      </c>
      <c r="K291" s="63"/>
      <c r="L291" s="63">
        <v>2</v>
      </c>
      <c r="M291" s="63"/>
      <c r="N291" s="63"/>
      <c r="O291" s="64" t="s">
        <v>338</v>
      </c>
      <c r="P291" s="56"/>
      <c r="Q291" s="57"/>
      <c r="R291" s="58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 spans="1:28" ht="14.4" x14ac:dyDescent="0.3">
      <c r="A292" s="50"/>
      <c r="B292" s="61">
        <v>43577</v>
      </c>
      <c r="C292" s="62" t="s">
        <v>41</v>
      </c>
      <c r="D292" s="62" t="s">
        <v>42</v>
      </c>
      <c r="E292" s="53">
        <f>SUM(F292:N292)</f>
        <v>5</v>
      </c>
      <c r="F292" s="63"/>
      <c r="G292" s="63">
        <v>1</v>
      </c>
      <c r="H292" s="63">
        <v>1</v>
      </c>
      <c r="I292" s="63"/>
      <c r="J292" s="63">
        <v>2</v>
      </c>
      <c r="K292" s="63">
        <v>1</v>
      </c>
      <c r="L292" s="63"/>
      <c r="M292" s="63"/>
      <c r="N292" s="63"/>
      <c r="O292" s="64" t="s">
        <v>570</v>
      </c>
      <c r="P292" s="56"/>
      <c r="Q292" s="57"/>
      <c r="R292" s="58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 spans="1:28" ht="14.4" x14ac:dyDescent="0.3">
      <c r="A293" s="50"/>
      <c r="B293" s="61">
        <v>43577</v>
      </c>
      <c r="C293" s="62" t="s">
        <v>38</v>
      </c>
      <c r="D293" s="62" t="s">
        <v>931</v>
      </c>
      <c r="E293" s="53">
        <f>SUM(F293:N293)</f>
        <v>1</v>
      </c>
      <c r="F293" s="63"/>
      <c r="G293" s="63"/>
      <c r="H293" s="63"/>
      <c r="I293" s="63"/>
      <c r="J293" s="63"/>
      <c r="K293" s="63">
        <v>1</v>
      </c>
      <c r="L293" s="63"/>
      <c r="M293" s="63"/>
      <c r="N293" s="63"/>
      <c r="O293" s="64" t="s">
        <v>501</v>
      </c>
      <c r="P293" s="56"/>
      <c r="Q293" s="57"/>
      <c r="R293" s="58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 spans="1:28" ht="14.4" x14ac:dyDescent="0.3">
      <c r="A294" s="50"/>
      <c r="B294" s="61">
        <v>43577</v>
      </c>
      <c r="C294" s="62" t="s">
        <v>83</v>
      </c>
      <c r="D294" s="62" t="s">
        <v>84</v>
      </c>
      <c r="E294" s="53">
        <f>SUM(F294:N294)</f>
        <v>4</v>
      </c>
      <c r="F294" s="63"/>
      <c r="G294" s="63"/>
      <c r="H294" s="63">
        <v>1</v>
      </c>
      <c r="I294" s="63"/>
      <c r="J294" s="63">
        <v>3</v>
      </c>
      <c r="K294" s="63"/>
      <c r="L294" s="63"/>
      <c r="M294" s="63"/>
      <c r="N294" s="63"/>
      <c r="O294" s="64" t="s">
        <v>751</v>
      </c>
      <c r="P294" s="56"/>
      <c r="Q294" s="57"/>
      <c r="R294" s="58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 spans="1:28" ht="14.4" x14ac:dyDescent="0.3">
      <c r="A295" s="50"/>
      <c r="B295" s="61">
        <v>43577</v>
      </c>
      <c r="C295" s="62" t="s">
        <v>26</v>
      </c>
      <c r="D295" s="62" t="s">
        <v>27</v>
      </c>
      <c r="E295" s="53">
        <f>SUM(F295:N295)</f>
        <v>2</v>
      </c>
      <c r="F295" s="63"/>
      <c r="G295" s="63"/>
      <c r="H295" s="63"/>
      <c r="I295" s="63"/>
      <c r="J295" s="63">
        <v>2</v>
      </c>
      <c r="K295" s="63"/>
      <c r="L295" s="63"/>
      <c r="M295" s="63"/>
      <c r="N295" s="63"/>
      <c r="O295" s="64" t="s">
        <v>541</v>
      </c>
      <c r="P295" s="56"/>
      <c r="Q295" s="57"/>
      <c r="R295" s="58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 spans="1:28" ht="14.4" x14ac:dyDescent="0.3">
      <c r="A296" s="50"/>
      <c r="B296" s="61">
        <v>43577</v>
      </c>
      <c r="C296" s="62" t="s">
        <v>17</v>
      </c>
      <c r="D296" s="62" t="s">
        <v>18</v>
      </c>
      <c r="E296" s="53">
        <f>SUM(F296:N296)</f>
        <v>5</v>
      </c>
      <c r="F296" s="63"/>
      <c r="G296" s="63">
        <v>1</v>
      </c>
      <c r="H296" s="63">
        <v>1</v>
      </c>
      <c r="I296" s="63"/>
      <c r="J296" s="63">
        <v>2</v>
      </c>
      <c r="K296" s="63">
        <v>1</v>
      </c>
      <c r="L296" s="63"/>
      <c r="M296" s="63"/>
      <c r="N296" s="63"/>
      <c r="O296" s="64" t="s">
        <v>277</v>
      </c>
      <c r="P296" s="56"/>
      <c r="Q296" s="68" t="s">
        <v>938</v>
      </c>
      <c r="R296" s="58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 spans="1:28" ht="14.4" x14ac:dyDescent="0.3">
      <c r="A297" s="50"/>
      <c r="B297" s="61">
        <v>43577</v>
      </c>
      <c r="C297" s="62" t="s">
        <v>32</v>
      </c>
      <c r="D297" s="62" t="s">
        <v>33</v>
      </c>
      <c r="E297" s="53">
        <f>SUM(F297:N297)</f>
        <v>1</v>
      </c>
      <c r="F297" s="63"/>
      <c r="G297" s="63"/>
      <c r="H297" s="63"/>
      <c r="I297" s="63">
        <v>1</v>
      </c>
      <c r="J297" s="63"/>
      <c r="K297" s="63"/>
      <c r="L297" s="63"/>
      <c r="M297" s="63"/>
      <c r="N297" s="63"/>
      <c r="O297" s="64" t="s">
        <v>643</v>
      </c>
      <c r="P297" s="56"/>
      <c r="Q297" s="57"/>
      <c r="R297" s="58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 spans="1:28" ht="14.4" x14ac:dyDescent="0.3">
      <c r="A298" s="50"/>
      <c r="B298" s="61">
        <v>43578</v>
      </c>
      <c r="C298" s="62" t="s">
        <v>32</v>
      </c>
      <c r="D298" s="62" t="s">
        <v>33</v>
      </c>
      <c r="E298" s="53">
        <f>SUM(F298:N298)</f>
        <v>1</v>
      </c>
      <c r="F298" s="63"/>
      <c r="G298" s="63"/>
      <c r="H298" s="63"/>
      <c r="I298" s="63">
        <v>1</v>
      </c>
      <c r="J298" s="63"/>
      <c r="K298" s="63"/>
      <c r="L298" s="63"/>
      <c r="M298" s="63"/>
      <c r="N298" s="63"/>
      <c r="O298" s="64" t="s">
        <v>644</v>
      </c>
      <c r="P298" s="56"/>
      <c r="Q298" s="57"/>
      <c r="R298" s="58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 spans="1:28" ht="14.4" x14ac:dyDescent="0.3">
      <c r="A299" s="50"/>
      <c r="B299" s="61">
        <v>43579</v>
      </c>
      <c r="C299" s="62" t="s">
        <v>97</v>
      </c>
      <c r="D299" s="62" t="s">
        <v>98</v>
      </c>
      <c r="E299" s="53">
        <f>SUM(F299:N299)</f>
        <v>1</v>
      </c>
      <c r="F299" s="63"/>
      <c r="G299" s="63"/>
      <c r="H299" s="63"/>
      <c r="I299" s="63"/>
      <c r="J299" s="63">
        <v>1</v>
      </c>
      <c r="K299" s="63"/>
      <c r="L299" s="63"/>
      <c r="M299" s="63"/>
      <c r="N299" s="63"/>
      <c r="O299" s="64" t="s">
        <v>784</v>
      </c>
      <c r="P299" s="56"/>
      <c r="Q299" s="57"/>
      <c r="R299" s="58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 spans="1:28" ht="14.4" x14ac:dyDescent="0.3">
      <c r="A300" s="50"/>
      <c r="B300" s="61">
        <v>43580</v>
      </c>
      <c r="C300" s="62" t="s">
        <v>47</v>
      </c>
      <c r="D300" s="62" t="s">
        <v>48</v>
      </c>
      <c r="E300" s="53">
        <f>SUM(F300:N300)</f>
        <v>2</v>
      </c>
      <c r="F300" s="63"/>
      <c r="G300" s="63"/>
      <c r="H300" s="63"/>
      <c r="I300" s="63"/>
      <c r="J300" s="63">
        <v>2</v>
      </c>
      <c r="K300" s="63"/>
      <c r="L300" s="63"/>
      <c r="M300" s="63"/>
      <c r="N300" s="63"/>
      <c r="O300" s="64" t="s">
        <v>339</v>
      </c>
      <c r="P300" s="56"/>
      <c r="Q300" s="57"/>
      <c r="R300" s="58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 spans="1:28" ht="14.4" x14ac:dyDescent="0.3">
      <c r="A301" s="50"/>
      <c r="B301" s="61">
        <v>43580</v>
      </c>
      <c r="C301" s="62" t="s">
        <v>32</v>
      </c>
      <c r="D301" s="62" t="s">
        <v>33</v>
      </c>
      <c r="E301" s="53">
        <f>SUM(F301:N301)</f>
        <v>2</v>
      </c>
      <c r="F301" s="63"/>
      <c r="G301" s="63"/>
      <c r="H301" s="63"/>
      <c r="I301" s="63"/>
      <c r="J301" s="63">
        <v>2</v>
      </c>
      <c r="K301" s="63"/>
      <c r="L301" s="63"/>
      <c r="M301" s="63"/>
      <c r="N301" s="63"/>
      <c r="O301" s="64" t="s">
        <v>645</v>
      </c>
      <c r="P301" s="56"/>
      <c r="Q301" s="57"/>
      <c r="R301" s="58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 spans="1:28" ht="14.4" x14ac:dyDescent="0.3">
      <c r="A302" s="50"/>
      <c r="B302" s="61">
        <v>43581</v>
      </c>
      <c r="C302" s="62" t="s">
        <v>71</v>
      </c>
      <c r="D302" s="62" t="s">
        <v>72</v>
      </c>
      <c r="E302" s="53">
        <f>SUM(F302:N302)</f>
        <v>1</v>
      </c>
      <c r="F302" s="63"/>
      <c r="G302" s="63"/>
      <c r="H302" s="63"/>
      <c r="I302" s="63"/>
      <c r="J302" s="63"/>
      <c r="K302" s="63">
        <v>1</v>
      </c>
      <c r="L302" s="63"/>
      <c r="M302" s="63"/>
      <c r="N302" s="63"/>
      <c r="O302" s="64" t="s">
        <v>614</v>
      </c>
      <c r="P302" s="56"/>
      <c r="Q302" s="57"/>
      <c r="R302" s="58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 spans="1:28" ht="14.4" x14ac:dyDescent="0.3">
      <c r="A303" s="50"/>
      <c r="B303" s="61">
        <v>43581</v>
      </c>
      <c r="C303" s="62" t="s">
        <v>56</v>
      </c>
      <c r="D303" s="62" t="s">
        <v>57</v>
      </c>
      <c r="E303" s="53">
        <f>SUM(F303:N303)</f>
        <v>1</v>
      </c>
      <c r="F303" s="63"/>
      <c r="G303" s="63"/>
      <c r="H303" s="63"/>
      <c r="I303" s="63"/>
      <c r="J303" s="63">
        <v>1</v>
      </c>
      <c r="K303" s="63"/>
      <c r="L303" s="63"/>
      <c r="M303" s="63"/>
      <c r="N303" s="63"/>
      <c r="O303" s="64" t="s">
        <v>211</v>
      </c>
      <c r="P303" s="56"/>
      <c r="Q303" s="57"/>
      <c r="R303" s="58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 spans="1:28" ht="14.4" x14ac:dyDescent="0.3">
      <c r="A304" s="50"/>
      <c r="B304" s="61">
        <v>43581</v>
      </c>
      <c r="C304" s="62" t="s">
        <v>44</v>
      </c>
      <c r="D304" s="62" t="s">
        <v>45</v>
      </c>
      <c r="E304" s="53">
        <f>SUM(F304:N304)</f>
        <v>2</v>
      </c>
      <c r="F304" s="63"/>
      <c r="G304" s="63"/>
      <c r="H304" s="63"/>
      <c r="I304" s="63"/>
      <c r="J304" s="63">
        <v>2</v>
      </c>
      <c r="K304" s="63"/>
      <c r="L304" s="63"/>
      <c r="M304" s="63"/>
      <c r="N304" s="63"/>
      <c r="O304" s="64" t="s">
        <v>382</v>
      </c>
      <c r="P304" s="56"/>
      <c r="Q304" s="57"/>
      <c r="R304" s="58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 spans="1:28" ht="14.4" x14ac:dyDescent="0.3">
      <c r="A305" s="50"/>
      <c r="B305" s="61">
        <v>43581</v>
      </c>
      <c r="C305" s="62" t="s">
        <v>115</v>
      </c>
      <c r="D305" s="62" t="s">
        <v>116</v>
      </c>
      <c r="E305" s="53">
        <f>SUM(F305:N305)</f>
        <v>1</v>
      </c>
      <c r="F305" s="63"/>
      <c r="G305" s="63">
        <v>1</v>
      </c>
      <c r="H305" s="63"/>
      <c r="I305" s="63"/>
      <c r="J305" s="63"/>
      <c r="K305" s="63"/>
      <c r="L305" s="63"/>
      <c r="M305" s="63"/>
      <c r="N305" s="63"/>
      <c r="O305" s="64" t="s">
        <v>206</v>
      </c>
      <c r="P305" s="56"/>
      <c r="Q305" s="57"/>
      <c r="R305" s="58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 spans="1:28" ht="14.4" x14ac:dyDescent="0.3">
      <c r="A306" s="50"/>
      <c r="B306" s="61">
        <v>43582</v>
      </c>
      <c r="C306" s="62" t="s">
        <v>68</v>
      </c>
      <c r="D306" s="62" t="s">
        <v>69</v>
      </c>
      <c r="E306" s="53">
        <f>SUM(F306:N306)</f>
        <v>1</v>
      </c>
      <c r="F306" s="63"/>
      <c r="G306" s="63"/>
      <c r="H306" s="63"/>
      <c r="I306" s="63"/>
      <c r="J306" s="63">
        <v>1</v>
      </c>
      <c r="K306" s="63"/>
      <c r="L306" s="63"/>
      <c r="M306" s="63"/>
      <c r="N306" s="63"/>
      <c r="O306" s="64" t="s">
        <v>702</v>
      </c>
      <c r="P306" s="56"/>
      <c r="Q306" s="57"/>
      <c r="R306" s="58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 spans="1:28" ht="14.4" x14ac:dyDescent="0.3">
      <c r="A307" s="50"/>
      <c r="B307" s="61">
        <v>43582</v>
      </c>
      <c r="C307" s="62" t="s">
        <v>65</v>
      </c>
      <c r="D307" s="62" t="s">
        <v>66</v>
      </c>
      <c r="E307" s="53">
        <f>SUM(F307:N307)</f>
        <v>1</v>
      </c>
      <c r="F307" s="63"/>
      <c r="G307" s="63"/>
      <c r="H307" s="63"/>
      <c r="I307" s="63"/>
      <c r="J307" s="63">
        <v>1</v>
      </c>
      <c r="K307" s="63"/>
      <c r="L307" s="63"/>
      <c r="M307" s="63"/>
      <c r="N307" s="63"/>
      <c r="O307" s="64" t="s">
        <v>776</v>
      </c>
      <c r="P307" s="56"/>
      <c r="Q307" s="57"/>
      <c r="R307" s="58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 spans="1:28" ht="14.4" x14ac:dyDescent="0.3">
      <c r="A308" s="50"/>
      <c r="B308" s="61">
        <v>43582</v>
      </c>
      <c r="C308" s="62" t="s">
        <v>53</v>
      </c>
      <c r="D308" s="62" t="s">
        <v>54</v>
      </c>
      <c r="E308" s="53">
        <f>SUM(F308:N308)</f>
        <v>1</v>
      </c>
      <c r="F308" s="63"/>
      <c r="G308" s="63"/>
      <c r="H308" s="63"/>
      <c r="I308" s="63"/>
      <c r="J308" s="63"/>
      <c r="K308" s="63">
        <v>1</v>
      </c>
      <c r="L308" s="63"/>
      <c r="M308" s="63"/>
      <c r="N308" s="63"/>
      <c r="O308" s="64" t="s">
        <v>357</v>
      </c>
      <c r="P308" s="56"/>
      <c r="Q308" s="57"/>
      <c r="R308" s="58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 spans="1:28" ht="14.4" x14ac:dyDescent="0.3">
      <c r="A309" s="50"/>
      <c r="B309" s="61">
        <v>43582</v>
      </c>
      <c r="C309" s="62" t="s">
        <v>35</v>
      </c>
      <c r="D309" s="62" t="s">
        <v>36</v>
      </c>
      <c r="E309" s="53">
        <f>SUM(F309:N309)</f>
        <v>3</v>
      </c>
      <c r="F309" s="63"/>
      <c r="G309" s="63"/>
      <c r="H309" s="63"/>
      <c r="I309" s="63"/>
      <c r="J309" s="63">
        <v>1</v>
      </c>
      <c r="K309" s="63">
        <v>1</v>
      </c>
      <c r="L309" s="63"/>
      <c r="M309" s="63">
        <v>1</v>
      </c>
      <c r="N309" s="63"/>
      <c r="O309" s="64" t="s">
        <v>471</v>
      </c>
      <c r="P309" s="56"/>
      <c r="Q309" s="68" t="s">
        <v>939</v>
      </c>
      <c r="R309" s="58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 spans="1:28" ht="14.4" x14ac:dyDescent="0.3">
      <c r="A310" s="50"/>
      <c r="B310" s="61">
        <v>43582</v>
      </c>
      <c r="C310" s="62" t="s">
        <v>80</v>
      </c>
      <c r="D310" s="62" t="s">
        <v>81</v>
      </c>
      <c r="E310" s="53">
        <f>SUM(F310:N310)</f>
        <v>2</v>
      </c>
      <c r="F310" s="63"/>
      <c r="G310" s="63"/>
      <c r="H310" s="63"/>
      <c r="I310" s="63">
        <v>1</v>
      </c>
      <c r="J310" s="63">
        <v>1</v>
      </c>
      <c r="K310" s="63"/>
      <c r="L310" s="63"/>
      <c r="M310" s="63"/>
      <c r="N310" s="63"/>
      <c r="O310" s="64" t="s">
        <v>190</v>
      </c>
      <c r="P310" s="56"/>
      <c r="Q310" s="57"/>
      <c r="R310" s="58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 spans="1:28" ht="14.4" x14ac:dyDescent="0.3">
      <c r="A311" s="50"/>
      <c r="B311" s="61">
        <v>43582</v>
      </c>
      <c r="C311" s="62" t="s">
        <v>56</v>
      </c>
      <c r="D311" s="62" t="s">
        <v>57</v>
      </c>
      <c r="E311" s="53">
        <f>SUM(F311:N311)</f>
        <v>4</v>
      </c>
      <c r="F311" s="63"/>
      <c r="G311" s="63"/>
      <c r="H311" s="63">
        <v>2</v>
      </c>
      <c r="I311" s="63"/>
      <c r="J311" s="63">
        <v>2</v>
      </c>
      <c r="K311" s="63"/>
      <c r="L311" s="63"/>
      <c r="M311" s="63"/>
      <c r="N311" s="63"/>
      <c r="O311" s="64" t="s">
        <v>212</v>
      </c>
      <c r="P311" s="56"/>
      <c r="Q311" s="57"/>
      <c r="R311" s="58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 spans="1:28" ht="14.4" x14ac:dyDescent="0.3">
      <c r="A312" s="50"/>
      <c r="B312" s="61">
        <v>43582</v>
      </c>
      <c r="C312" s="62" t="s">
        <v>103</v>
      </c>
      <c r="D312" s="62" t="s">
        <v>104</v>
      </c>
      <c r="E312" s="53">
        <f>SUM(F312:N312)</f>
        <v>2</v>
      </c>
      <c r="F312" s="63"/>
      <c r="G312" s="63"/>
      <c r="H312" s="63">
        <v>1</v>
      </c>
      <c r="I312" s="63"/>
      <c r="J312" s="63">
        <v>1</v>
      </c>
      <c r="K312" s="63"/>
      <c r="L312" s="63"/>
      <c r="M312" s="63"/>
      <c r="N312" s="63"/>
      <c r="O312" s="64" t="s">
        <v>396</v>
      </c>
      <c r="P312" s="56"/>
      <c r="Q312" s="57"/>
      <c r="R312" s="58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 spans="1:28" ht="14.4" x14ac:dyDescent="0.3">
      <c r="A313" s="50"/>
      <c r="B313" s="61">
        <v>43582</v>
      </c>
      <c r="C313" s="62" t="s">
        <v>38</v>
      </c>
      <c r="D313" s="62" t="s">
        <v>39</v>
      </c>
      <c r="E313" s="53">
        <f>SUM(F313:N313)</f>
        <v>2</v>
      </c>
      <c r="F313" s="63"/>
      <c r="G313" s="63"/>
      <c r="H313" s="63">
        <v>1</v>
      </c>
      <c r="I313" s="63"/>
      <c r="J313" s="63">
        <v>1</v>
      </c>
      <c r="K313" s="63"/>
      <c r="L313" s="63"/>
      <c r="M313" s="63"/>
      <c r="N313" s="63"/>
      <c r="O313" s="64" t="s">
        <v>396</v>
      </c>
      <c r="P313" s="56"/>
      <c r="Q313" s="57"/>
      <c r="R313" s="58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 spans="1:28" ht="14.4" x14ac:dyDescent="0.3">
      <c r="A314" s="50"/>
      <c r="B314" s="61">
        <v>43582</v>
      </c>
      <c r="C314" s="62" t="s">
        <v>26</v>
      </c>
      <c r="D314" s="62" t="s">
        <v>27</v>
      </c>
      <c r="E314" s="53">
        <f>SUM(F314:N314)</f>
        <v>8</v>
      </c>
      <c r="F314" s="63"/>
      <c r="G314" s="63">
        <v>5</v>
      </c>
      <c r="H314" s="63"/>
      <c r="I314" s="63"/>
      <c r="J314" s="63">
        <v>2</v>
      </c>
      <c r="K314" s="63"/>
      <c r="L314" s="63">
        <v>1</v>
      </c>
      <c r="M314" s="63"/>
      <c r="N314" s="63"/>
      <c r="O314" s="64" t="s">
        <v>542</v>
      </c>
      <c r="P314" s="56"/>
      <c r="Q314" s="57"/>
      <c r="R314" s="58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</row>
    <row r="315" spans="1:28" ht="14.4" x14ac:dyDescent="0.3">
      <c r="A315" s="50"/>
      <c r="B315" s="61">
        <v>43583</v>
      </c>
      <c r="C315" s="62" t="s">
        <v>148</v>
      </c>
      <c r="D315" s="62" t="s">
        <v>149</v>
      </c>
      <c r="E315" s="53">
        <f>SUM(F315:N315)</f>
        <v>1</v>
      </c>
      <c r="F315" s="63"/>
      <c r="G315" s="63"/>
      <c r="H315" s="63"/>
      <c r="I315" s="63"/>
      <c r="J315" s="63">
        <v>1</v>
      </c>
      <c r="K315" s="63"/>
      <c r="L315" s="63"/>
      <c r="M315" s="63"/>
      <c r="N315" s="63"/>
      <c r="O315" s="64" t="s">
        <v>336</v>
      </c>
      <c r="P315" s="56"/>
      <c r="Q315" s="57"/>
      <c r="R315" s="58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</row>
    <row r="316" spans="1:28" ht="14.4" x14ac:dyDescent="0.3">
      <c r="A316" s="50"/>
      <c r="B316" s="61">
        <v>43583</v>
      </c>
      <c r="C316" s="62" t="s">
        <v>17</v>
      </c>
      <c r="D316" s="62" t="s">
        <v>18</v>
      </c>
      <c r="E316" s="53">
        <f>SUM(F316:N316)</f>
        <v>1</v>
      </c>
      <c r="F316" s="63"/>
      <c r="G316" s="63"/>
      <c r="H316" s="63"/>
      <c r="I316" s="63"/>
      <c r="J316" s="63">
        <v>1</v>
      </c>
      <c r="K316" s="63"/>
      <c r="L316" s="63"/>
      <c r="M316" s="63"/>
      <c r="N316" s="63"/>
      <c r="O316" s="64" t="s">
        <v>278</v>
      </c>
      <c r="P316" s="56"/>
      <c r="Q316" s="68" t="s">
        <v>940</v>
      </c>
      <c r="R316" s="58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</row>
    <row r="317" spans="1:28" ht="14.4" x14ac:dyDescent="0.3">
      <c r="A317" s="50"/>
      <c r="B317" s="61">
        <v>43583</v>
      </c>
      <c r="C317" s="62" t="s">
        <v>44</v>
      </c>
      <c r="D317" s="62" t="s">
        <v>45</v>
      </c>
      <c r="E317" s="53">
        <f>SUM(F317:N317)</f>
        <v>2</v>
      </c>
      <c r="F317" s="63"/>
      <c r="G317" s="63"/>
      <c r="H317" s="63"/>
      <c r="I317" s="63"/>
      <c r="J317" s="63">
        <v>1</v>
      </c>
      <c r="K317" s="63">
        <v>1</v>
      </c>
      <c r="L317" s="63"/>
      <c r="M317" s="63"/>
      <c r="N317" s="63"/>
      <c r="O317" s="64" t="s">
        <v>383</v>
      </c>
      <c r="P317" s="56"/>
      <c r="Q317" s="57"/>
      <c r="R317" s="58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</row>
    <row r="318" spans="1:28" ht="14.4" x14ac:dyDescent="0.3">
      <c r="A318" s="50"/>
      <c r="B318" s="61">
        <v>43583</v>
      </c>
      <c r="C318" s="62" t="s">
        <v>80</v>
      </c>
      <c r="D318" s="62" t="s">
        <v>81</v>
      </c>
      <c r="E318" s="53">
        <f>SUM(F318:N318)</f>
        <v>2</v>
      </c>
      <c r="F318" s="63"/>
      <c r="G318" s="63"/>
      <c r="H318" s="63">
        <v>1</v>
      </c>
      <c r="I318" s="63"/>
      <c r="J318" s="63">
        <v>1</v>
      </c>
      <c r="K318" s="63"/>
      <c r="L318" s="63"/>
      <c r="M318" s="63"/>
      <c r="N318" s="63"/>
      <c r="O318" s="64" t="s">
        <v>191</v>
      </c>
      <c r="P318" s="56"/>
      <c r="Q318" s="57"/>
      <c r="R318" s="58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</row>
    <row r="319" spans="1:28" ht="14.4" x14ac:dyDescent="0.3">
      <c r="A319" s="50"/>
      <c r="B319" s="61">
        <v>43583</v>
      </c>
      <c r="C319" s="62" t="s">
        <v>14</v>
      </c>
      <c r="D319" s="62" t="s">
        <v>15</v>
      </c>
      <c r="E319" s="53">
        <f>SUM(F319:N319)</f>
        <v>9</v>
      </c>
      <c r="F319" s="63"/>
      <c r="G319" s="63"/>
      <c r="H319" s="63"/>
      <c r="I319" s="63">
        <v>5</v>
      </c>
      <c r="J319" s="63"/>
      <c r="K319" s="63">
        <v>2</v>
      </c>
      <c r="L319" s="63">
        <v>2</v>
      </c>
      <c r="M319" s="63"/>
      <c r="N319" s="63"/>
      <c r="O319" s="64" t="s">
        <v>823</v>
      </c>
      <c r="P319" s="56"/>
      <c r="Q319" s="57"/>
      <c r="R319" s="58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</row>
    <row r="320" spans="1:28" ht="14.4" x14ac:dyDescent="0.3">
      <c r="A320" s="50"/>
      <c r="B320" s="61">
        <v>43583</v>
      </c>
      <c r="C320" s="62" t="s">
        <v>26</v>
      </c>
      <c r="D320" s="62" t="s">
        <v>27</v>
      </c>
      <c r="E320" s="53">
        <f>SUM(F320:N320)</f>
        <v>6</v>
      </c>
      <c r="F320" s="63"/>
      <c r="G320" s="63">
        <v>1</v>
      </c>
      <c r="H320" s="63">
        <v>2</v>
      </c>
      <c r="I320" s="63"/>
      <c r="J320" s="63">
        <v>1</v>
      </c>
      <c r="K320" s="63">
        <v>2</v>
      </c>
      <c r="L320" s="63"/>
      <c r="M320" s="63"/>
      <c r="N320" s="63"/>
      <c r="O320" s="64" t="s">
        <v>543</v>
      </c>
      <c r="P320" s="56"/>
      <c r="Q320" s="57"/>
      <c r="R320" s="58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</row>
    <row r="321" spans="1:28" ht="14.4" x14ac:dyDescent="0.3">
      <c r="A321" s="50"/>
      <c r="B321" s="61">
        <v>43585</v>
      </c>
      <c r="C321" s="62" t="s">
        <v>44</v>
      </c>
      <c r="D321" s="62" t="s">
        <v>45</v>
      </c>
      <c r="E321" s="53">
        <f>SUM(F321:N321)</f>
        <v>1</v>
      </c>
      <c r="F321" s="63"/>
      <c r="G321" s="63"/>
      <c r="H321" s="63"/>
      <c r="I321" s="63"/>
      <c r="J321" s="63">
        <v>1</v>
      </c>
      <c r="K321" s="63"/>
      <c r="L321" s="63"/>
      <c r="M321" s="63"/>
      <c r="N321" s="63"/>
      <c r="O321" s="64" t="s">
        <v>384</v>
      </c>
      <c r="P321" s="56"/>
      <c r="Q321" s="57"/>
      <c r="R321" s="58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</row>
    <row r="322" spans="1:28" ht="14.4" x14ac:dyDescent="0.3">
      <c r="A322" s="50"/>
      <c r="B322" s="61">
        <v>43586</v>
      </c>
      <c r="C322" s="62" t="s">
        <v>77</v>
      </c>
      <c r="D322" s="62" t="s">
        <v>78</v>
      </c>
      <c r="E322" s="53">
        <f>SUM(F322:N322)</f>
        <v>2</v>
      </c>
      <c r="F322" s="63"/>
      <c r="G322" s="63">
        <v>1</v>
      </c>
      <c r="H322" s="63"/>
      <c r="I322" s="63"/>
      <c r="J322" s="63">
        <v>1</v>
      </c>
      <c r="K322" s="63"/>
      <c r="L322" s="63"/>
      <c r="M322" s="63"/>
      <c r="N322" s="63"/>
      <c r="O322" s="64" t="s">
        <v>690</v>
      </c>
      <c r="P322" s="56"/>
      <c r="Q322" s="57"/>
      <c r="R322" s="58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</row>
    <row r="323" spans="1:28" ht="14.4" x14ac:dyDescent="0.3">
      <c r="A323" s="50"/>
      <c r="B323" s="61">
        <v>43586</v>
      </c>
      <c r="C323" s="62" t="s">
        <v>56</v>
      </c>
      <c r="D323" s="62" t="s">
        <v>57</v>
      </c>
      <c r="E323" s="53">
        <f>SUM(F323:N323)</f>
        <v>1</v>
      </c>
      <c r="F323" s="63"/>
      <c r="G323" s="63"/>
      <c r="H323" s="63"/>
      <c r="I323" s="63"/>
      <c r="J323" s="63"/>
      <c r="K323" s="63">
        <v>1</v>
      </c>
      <c r="L323" s="63"/>
      <c r="M323" s="63"/>
      <c r="N323" s="63"/>
      <c r="O323" s="64" t="s">
        <v>213</v>
      </c>
      <c r="P323" s="56"/>
      <c r="Q323" s="57"/>
      <c r="R323" s="58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</row>
    <row r="324" spans="1:28" ht="14.4" x14ac:dyDescent="0.3">
      <c r="A324" s="50"/>
      <c r="B324" s="61">
        <v>43586</v>
      </c>
      <c r="C324" s="62" t="s">
        <v>14</v>
      </c>
      <c r="D324" s="62" t="s">
        <v>15</v>
      </c>
      <c r="E324" s="53">
        <f>SUM(F324:N324)</f>
        <v>5</v>
      </c>
      <c r="F324" s="63"/>
      <c r="G324" s="63"/>
      <c r="H324" s="63"/>
      <c r="I324" s="63">
        <v>2</v>
      </c>
      <c r="J324" s="63"/>
      <c r="K324" s="63">
        <v>1</v>
      </c>
      <c r="L324" s="63">
        <v>2</v>
      </c>
      <c r="M324" s="63"/>
      <c r="N324" s="63"/>
      <c r="O324" s="64" t="s">
        <v>824</v>
      </c>
      <c r="P324" s="56"/>
      <c r="Q324" s="57"/>
      <c r="R324" s="58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</row>
    <row r="325" spans="1:28" ht="14.4" x14ac:dyDescent="0.3">
      <c r="A325" s="50"/>
      <c r="B325" s="61">
        <v>43586</v>
      </c>
      <c r="C325" s="62" t="s">
        <v>17</v>
      </c>
      <c r="D325" s="62" t="s">
        <v>18</v>
      </c>
      <c r="E325" s="53">
        <f>SUM(F325:N325)</f>
        <v>3</v>
      </c>
      <c r="F325" s="63"/>
      <c r="G325" s="63">
        <v>1</v>
      </c>
      <c r="H325" s="63"/>
      <c r="I325" s="63"/>
      <c r="J325" s="63">
        <v>2</v>
      </c>
      <c r="K325" s="63"/>
      <c r="L325" s="63"/>
      <c r="M325" s="63"/>
      <c r="N325" s="63"/>
      <c r="O325" s="64" t="s">
        <v>279</v>
      </c>
      <c r="P325" s="56"/>
      <c r="Q325" s="68" t="s">
        <v>941</v>
      </c>
      <c r="R325" s="58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</row>
    <row r="326" spans="1:28" ht="14.4" x14ac:dyDescent="0.3">
      <c r="A326" s="50"/>
      <c r="B326" s="61">
        <v>43586</v>
      </c>
      <c r="C326" s="62" t="s">
        <v>26</v>
      </c>
      <c r="D326" s="62" t="s">
        <v>27</v>
      </c>
      <c r="E326" s="53">
        <f>SUM(F326:N326)</f>
        <v>1</v>
      </c>
      <c r="F326" s="63"/>
      <c r="G326" s="63"/>
      <c r="H326" s="63"/>
      <c r="I326" s="63"/>
      <c r="J326" s="63">
        <v>1</v>
      </c>
      <c r="K326" s="63"/>
      <c r="L326" s="63"/>
      <c r="M326" s="63"/>
      <c r="N326" s="63"/>
      <c r="O326" s="64" t="s">
        <v>544</v>
      </c>
      <c r="P326" s="56"/>
      <c r="Q326" s="57"/>
      <c r="R326" s="58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</row>
    <row r="327" spans="1:28" ht="14.4" x14ac:dyDescent="0.3">
      <c r="A327" s="50"/>
      <c r="B327" s="61">
        <v>43586</v>
      </c>
      <c r="C327" s="62" t="s">
        <v>50</v>
      </c>
      <c r="D327" s="62" t="s">
        <v>51</v>
      </c>
      <c r="E327" s="53">
        <f>SUM(F327:N327)</f>
        <v>3</v>
      </c>
      <c r="F327" s="63"/>
      <c r="G327" s="63"/>
      <c r="H327" s="63"/>
      <c r="I327" s="63"/>
      <c r="J327" s="63">
        <v>3</v>
      </c>
      <c r="K327" s="63"/>
      <c r="L327" s="63"/>
      <c r="M327" s="63"/>
      <c r="N327" s="63"/>
      <c r="O327" s="64" t="s">
        <v>760</v>
      </c>
      <c r="P327" s="56"/>
      <c r="Q327" s="57"/>
      <c r="R327" s="58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</row>
    <row r="328" spans="1:28" ht="14.4" x14ac:dyDescent="0.3">
      <c r="A328" s="50"/>
      <c r="B328" s="61">
        <v>43586</v>
      </c>
      <c r="C328" s="62" t="s">
        <v>136</v>
      </c>
      <c r="D328" s="62" t="s">
        <v>137</v>
      </c>
      <c r="E328" s="53">
        <f>SUM(F328:N328)</f>
        <v>3</v>
      </c>
      <c r="F328" s="63">
        <v>1</v>
      </c>
      <c r="G328" s="63"/>
      <c r="H328" s="63"/>
      <c r="I328" s="63">
        <v>1</v>
      </c>
      <c r="J328" s="63">
        <v>1</v>
      </c>
      <c r="K328" s="63"/>
      <c r="L328" s="63"/>
      <c r="M328" s="63"/>
      <c r="N328" s="63"/>
      <c r="O328" s="64" t="s">
        <v>203</v>
      </c>
      <c r="P328" s="56"/>
      <c r="Q328" s="57"/>
      <c r="R328" s="58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</row>
    <row r="329" spans="1:28" ht="14.4" x14ac:dyDescent="0.3">
      <c r="A329" s="50"/>
      <c r="B329" s="61">
        <v>43587</v>
      </c>
      <c r="C329" s="62" t="s">
        <v>47</v>
      </c>
      <c r="D329" s="62" t="s">
        <v>48</v>
      </c>
      <c r="E329" s="53">
        <f>SUM(F329:N329)</f>
        <v>1</v>
      </c>
      <c r="F329" s="63"/>
      <c r="G329" s="63"/>
      <c r="H329" s="63"/>
      <c r="I329" s="63"/>
      <c r="J329" s="63">
        <v>1</v>
      </c>
      <c r="K329" s="63"/>
      <c r="L329" s="63"/>
      <c r="M329" s="63"/>
      <c r="N329" s="63"/>
      <c r="O329" s="64" t="s">
        <v>340</v>
      </c>
      <c r="P329" s="56"/>
      <c r="Q329" s="57"/>
      <c r="R329" s="58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</row>
    <row r="330" spans="1:28" ht="14.4" x14ac:dyDescent="0.3">
      <c r="A330" s="50"/>
      <c r="B330" s="61">
        <v>43588</v>
      </c>
      <c r="C330" s="62" t="s">
        <v>56</v>
      </c>
      <c r="D330" s="62" t="s">
        <v>57</v>
      </c>
      <c r="E330" s="53">
        <f>SUM(F330:N330)</f>
        <v>2</v>
      </c>
      <c r="F330" s="63"/>
      <c r="G330" s="63">
        <v>1</v>
      </c>
      <c r="H330" s="63"/>
      <c r="I330" s="63"/>
      <c r="J330" s="63">
        <v>1</v>
      </c>
      <c r="K330" s="63"/>
      <c r="L330" s="63"/>
      <c r="M330" s="63"/>
      <c r="N330" s="63"/>
      <c r="O330" s="64" t="s">
        <v>214</v>
      </c>
      <c r="P330" s="56"/>
      <c r="Q330" s="57"/>
      <c r="R330" s="58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</row>
    <row r="331" spans="1:28" ht="14.4" x14ac:dyDescent="0.3">
      <c r="A331" s="50"/>
      <c r="B331" s="61">
        <v>43588</v>
      </c>
      <c r="C331" s="62" t="s">
        <v>20</v>
      </c>
      <c r="D331" s="62" t="s">
        <v>21</v>
      </c>
      <c r="E331" s="53">
        <f>SUM(F331:N331)</f>
        <v>2</v>
      </c>
      <c r="F331" s="63"/>
      <c r="G331" s="63"/>
      <c r="H331" s="63"/>
      <c r="I331" s="63"/>
      <c r="J331" s="63">
        <v>1</v>
      </c>
      <c r="K331" s="63"/>
      <c r="L331" s="63">
        <v>1</v>
      </c>
      <c r="M331" s="63"/>
      <c r="N331" s="63"/>
      <c r="O331" s="64" t="s">
        <v>414</v>
      </c>
      <c r="P331" s="56"/>
      <c r="Q331" s="57"/>
      <c r="R331" s="58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</row>
    <row r="332" spans="1:28" ht="14.4" x14ac:dyDescent="0.3">
      <c r="A332" s="50"/>
      <c r="B332" s="61">
        <v>43588</v>
      </c>
      <c r="C332" s="62" t="s">
        <v>50</v>
      </c>
      <c r="D332" s="62" t="s">
        <v>51</v>
      </c>
      <c r="E332" s="53">
        <f>SUM(F332:N332)</f>
        <v>2</v>
      </c>
      <c r="F332" s="63"/>
      <c r="G332" s="63"/>
      <c r="H332" s="63"/>
      <c r="I332" s="63"/>
      <c r="J332" s="63">
        <v>1</v>
      </c>
      <c r="K332" s="63">
        <v>1</v>
      </c>
      <c r="L332" s="63"/>
      <c r="M332" s="63"/>
      <c r="N332" s="63"/>
      <c r="O332" s="64" t="s">
        <v>202</v>
      </c>
      <c r="P332" s="56"/>
      <c r="Q332" s="57"/>
      <c r="R332" s="58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</row>
    <row r="333" spans="1:28" ht="14.4" x14ac:dyDescent="0.3">
      <c r="A333" s="50"/>
      <c r="B333" s="61">
        <v>43588</v>
      </c>
      <c r="C333" s="62" t="s">
        <v>65</v>
      </c>
      <c r="D333" s="62" t="s">
        <v>66</v>
      </c>
      <c r="E333" s="53">
        <f>SUM(F333:N333)</f>
        <v>2</v>
      </c>
      <c r="F333" s="63"/>
      <c r="G333" s="63"/>
      <c r="H333" s="63"/>
      <c r="I333" s="63"/>
      <c r="J333" s="63">
        <v>1</v>
      </c>
      <c r="K333" s="63">
        <v>1</v>
      </c>
      <c r="L333" s="63"/>
      <c r="M333" s="63"/>
      <c r="N333" s="63"/>
      <c r="O333" s="64" t="s">
        <v>202</v>
      </c>
      <c r="P333" s="56"/>
      <c r="Q333" s="57"/>
      <c r="R333" s="58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</row>
    <row r="334" spans="1:28" ht="14.4" x14ac:dyDescent="0.3">
      <c r="A334" s="50"/>
      <c r="B334" s="61">
        <v>43588</v>
      </c>
      <c r="C334" s="62" t="s">
        <v>151</v>
      </c>
      <c r="D334" s="62" t="s">
        <v>152</v>
      </c>
      <c r="E334" s="53">
        <f>SUM(F334:N334)</f>
        <v>2</v>
      </c>
      <c r="F334" s="63"/>
      <c r="G334" s="63"/>
      <c r="H334" s="63"/>
      <c r="I334" s="63"/>
      <c r="J334" s="63">
        <v>1</v>
      </c>
      <c r="K334" s="63">
        <v>1</v>
      </c>
      <c r="L334" s="63"/>
      <c r="M334" s="63"/>
      <c r="N334" s="63"/>
      <c r="O334" s="64" t="s">
        <v>202</v>
      </c>
      <c r="P334" s="56"/>
      <c r="Q334" s="57"/>
      <c r="R334" s="58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</row>
    <row r="335" spans="1:28" ht="14.4" x14ac:dyDescent="0.3">
      <c r="A335" s="50"/>
      <c r="B335" s="61">
        <v>43589</v>
      </c>
      <c r="C335" s="62" t="s">
        <v>17</v>
      </c>
      <c r="D335" s="62" t="s">
        <v>18</v>
      </c>
      <c r="E335" s="53">
        <f>SUM(F335:N335)</f>
        <v>2</v>
      </c>
      <c r="F335" s="63"/>
      <c r="G335" s="63"/>
      <c r="H335" s="63">
        <v>1</v>
      </c>
      <c r="I335" s="63"/>
      <c r="J335" s="63">
        <v>1</v>
      </c>
      <c r="K335" s="63"/>
      <c r="L335" s="63"/>
      <c r="M335" s="63"/>
      <c r="N335" s="63"/>
      <c r="O335" s="64" t="s">
        <v>280</v>
      </c>
      <c r="P335" s="56"/>
      <c r="Q335" s="68" t="s">
        <v>942</v>
      </c>
      <c r="R335" s="58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</row>
    <row r="336" spans="1:28" ht="14.4" x14ac:dyDescent="0.3">
      <c r="A336" s="50"/>
      <c r="B336" s="61">
        <v>43589</v>
      </c>
      <c r="C336" s="62" t="s">
        <v>65</v>
      </c>
      <c r="D336" s="62" t="s">
        <v>66</v>
      </c>
      <c r="E336" s="53">
        <f>SUM(F336:N336)</f>
        <v>2</v>
      </c>
      <c r="F336" s="63"/>
      <c r="G336" s="63"/>
      <c r="H336" s="63">
        <v>1</v>
      </c>
      <c r="I336" s="63"/>
      <c r="J336" s="63">
        <v>1</v>
      </c>
      <c r="K336" s="63"/>
      <c r="L336" s="63"/>
      <c r="M336" s="63"/>
      <c r="N336" s="63"/>
      <c r="O336" s="64" t="s">
        <v>280</v>
      </c>
      <c r="P336" s="56"/>
      <c r="Q336" s="57"/>
      <c r="R336" s="58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</row>
    <row r="337" spans="1:28" ht="14.4" x14ac:dyDescent="0.3">
      <c r="A337" s="50"/>
      <c r="B337" s="61">
        <v>43589</v>
      </c>
      <c r="C337" s="62" t="s">
        <v>50</v>
      </c>
      <c r="D337" s="62" t="s">
        <v>51</v>
      </c>
      <c r="E337" s="53">
        <f>SUM(F337:N337)</f>
        <v>2</v>
      </c>
      <c r="F337" s="63"/>
      <c r="G337" s="63"/>
      <c r="H337" s="63">
        <v>1</v>
      </c>
      <c r="I337" s="63"/>
      <c r="J337" s="63">
        <v>1</v>
      </c>
      <c r="K337" s="63"/>
      <c r="L337" s="63"/>
      <c r="M337" s="63"/>
      <c r="N337" s="63"/>
      <c r="O337" s="64" t="s">
        <v>280</v>
      </c>
      <c r="P337" s="56"/>
      <c r="Q337" s="57"/>
      <c r="R337" s="58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</row>
    <row r="338" spans="1:28" ht="14.4" x14ac:dyDescent="0.3">
      <c r="A338" s="50"/>
      <c r="B338" s="61">
        <v>43589</v>
      </c>
      <c r="C338" s="62" t="s">
        <v>26</v>
      </c>
      <c r="D338" s="62" t="s">
        <v>27</v>
      </c>
      <c r="E338" s="53">
        <f>SUM(F338:N338)</f>
        <v>3</v>
      </c>
      <c r="F338" s="63"/>
      <c r="G338" s="63">
        <v>1</v>
      </c>
      <c r="H338" s="63"/>
      <c r="I338" s="63"/>
      <c r="J338" s="63"/>
      <c r="K338" s="63"/>
      <c r="L338" s="63">
        <v>2</v>
      </c>
      <c r="M338" s="63"/>
      <c r="N338" s="63"/>
      <c r="O338" s="64" t="s">
        <v>545</v>
      </c>
      <c r="P338" s="56"/>
      <c r="Q338" s="57"/>
      <c r="R338" s="58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</row>
    <row r="339" spans="1:28" ht="14.4" x14ac:dyDescent="0.3">
      <c r="A339" s="50"/>
      <c r="B339" s="61">
        <v>43589</v>
      </c>
      <c r="C339" s="62" t="s">
        <v>100</v>
      </c>
      <c r="D339" s="62" t="s">
        <v>101</v>
      </c>
      <c r="E339" s="53">
        <f>SUM(F339:N339)</f>
        <v>3</v>
      </c>
      <c r="F339" s="63"/>
      <c r="G339" s="63">
        <v>1</v>
      </c>
      <c r="H339" s="63"/>
      <c r="I339" s="63"/>
      <c r="J339" s="63">
        <v>2</v>
      </c>
      <c r="K339" s="63"/>
      <c r="L339" s="63"/>
      <c r="M339" s="63"/>
      <c r="N339" s="63"/>
      <c r="O339" s="64" t="s">
        <v>465</v>
      </c>
      <c r="P339" s="56"/>
      <c r="Q339" s="57"/>
      <c r="R339" s="58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</row>
    <row r="340" spans="1:28" ht="14.4" x14ac:dyDescent="0.3">
      <c r="A340" s="50"/>
      <c r="B340" s="61">
        <v>43589</v>
      </c>
      <c r="C340" s="62" t="s">
        <v>14</v>
      </c>
      <c r="D340" s="62" t="s">
        <v>15</v>
      </c>
      <c r="E340" s="53">
        <f>SUM(F340:N340)</f>
        <v>2</v>
      </c>
      <c r="F340" s="63"/>
      <c r="G340" s="63">
        <v>1</v>
      </c>
      <c r="H340" s="63">
        <v>1</v>
      </c>
      <c r="I340" s="63"/>
      <c r="J340" s="63"/>
      <c r="K340" s="63"/>
      <c r="L340" s="63"/>
      <c r="M340" s="63"/>
      <c r="N340" s="63"/>
      <c r="O340" s="64" t="s">
        <v>825</v>
      </c>
      <c r="P340" s="56"/>
      <c r="Q340" s="57"/>
      <c r="R340" s="58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</row>
    <row r="341" spans="1:28" ht="14.4" x14ac:dyDescent="0.3">
      <c r="A341" s="50"/>
      <c r="B341" s="61">
        <v>43590</v>
      </c>
      <c r="C341" s="62" t="s">
        <v>74</v>
      </c>
      <c r="D341" s="62" t="s">
        <v>75</v>
      </c>
      <c r="E341" s="53">
        <f>SUM(F341:N341)</f>
        <v>4</v>
      </c>
      <c r="F341" s="63"/>
      <c r="G341" s="63"/>
      <c r="H341" s="63">
        <v>1</v>
      </c>
      <c r="I341" s="63"/>
      <c r="J341" s="63">
        <v>3</v>
      </c>
      <c r="K341" s="63"/>
      <c r="L341" s="63"/>
      <c r="M341" s="63"/>
      <c r="N341" s="63"/>
      <c r="O341" s="64" t="s">
        <v>598</v>
      </c>
      <c r="P341" s="56"/>
      <c r="Q341" s="57"/>
      <c r="R341" s="58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</row>
    <row r="342" spans="1:28" ht="14.4" x14ac:dyDescent="0.3">
      <c r="A342" s="50"/>
      <c r="B342" s="61">
        <v>43590</v>
      </c>
      <c r="C342" s="62" t="s">
        <v>68</v>
      </c>
      <c r="D342" s="62" t="s">
        <v>69</v>
      </c>
      <c r="E342" s="53">
        <f>SUM(F342:N342)</f>
        <v>3</v>
      </c>
      <c r="F342" s="63"/>
      <c r="G342" s="63">
        <v>1</v>
      </c>
      <c r="H342" s="63"/>
      <c r="I342" s="63"/>
      <c r="J342" s="63"/>
      <c r="K342" s="63"/>
      <c r="L342" s="63">
        <v>2</v>
      </c>
      <c r="M342" s="63"/>
      <c r="N342" s="63"/>
      <c r="O342" s="64" t="s">
        <v>703</v>
      </c>
      <c r="P342" s="56"/>
      <c r="Q342" s="57"/>
      <c r="R342" s="58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</row>
    <row r="343" spans="1:28" ht="14.4" x14ac:dyDescent="0.3">
      <c r="A343" s="50"/>
      <c r="B343" s="61">
        <v>43590</v>
      </c>
      <c r="C343" s="62" t="s">
        <v>97</v>
      </c>
      <c r="D343" s="62" t="s">
        <v>98</v>
      </c>
      <c r="E343" s="53">
        <f>SUM(F343:N343)</f>
        <v>3</v>
      </c>
      <c r="F343" s="63"/>
      <c r="G343" s="63">
        <v>3</v>
      </c>
      <c r="H343" s="63"/>
      <c r="I343" s="63"/>
      <c r="J343" s="63"/>
      <c r="K343" s="63"/>
      <c r="L343" s="63"/>
      <c r="M343" s="63"/>
      <c r="N343" s="63"/>
      <c r="O343" s="64" t="s">
        <v>785</v>
      </c>
      <c r="P343" s="56"/>
      <c r="Q343" s="57"/>
      <c r="R343" s="58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</row>
    <row r="344" spans="1:28" ht="14.4" x14ac:dyDescent="0.3">
      <c r="A344" s="50"/>
      <c r="B344" s="61">
        <v>43590</v>
      </c>
      <c r="C344" s="62" t="s">
        <v>38</v>
      </c>
      <c r="D344" s="62" t="s">
        <v>39</v>
      </c>
      <c r="E344" s="53">
        <f>SUM(F344:N344)</f>
        <v>3</v>
      </c>
      <c r="F344" s="63"/>
      <c r="G344" s="63">
        <v>2</v>
      </c>
      <c r="H344" s="63"/>
      <c r="I344" s="63"/>
      <c r="J344" s="63">
        <v>1</v>
      </c>
      <c r="K344" s="63"/>
      <c r="L344" s="63"/>
      <c r="M344" s="63"/>
      <c r="N344" s="63"/>
      <c r="O344" s="64" t="s">
        <v>502</v>
      </c>
      <c r="P344" s="56"/>
      <c r="Q344" s="57"/>
      <c r="R344" s="58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</row>
    <row r="345" spans="1:28" ht="14.4" x14ac:dyDescent="0.3">
      <c r="A345" s="50"/>
      <c r="B345" s="61">
        <v>43592</v>
      </c>
      <c r="C345" s="62" t="s">
        <v>38</v>
      </c>
      <c r="D345" s="62" t="s">
        <v>39</v>
      </c>
      <c r="E345" s="53">
        <f>SUM(F345:N345)</f>
        <v>1</v>
      </c>
      <c r="F345" s="63"/>
      <c r="G345" s="63"/>
      <c r="H345" s="63"/>
      <c r="I345" s="63"/>
      <c r="J345" s="63">
        <v>1</v>
      </c>
      <c r="K345" s="63"/>
      <c r="L345" s="63"/>
      <c r="M345" s="63"/>
      <c r="N345" s="63"/>
      <c r="O345" s="64" t="s">
        <v>503</v>
      </c>
      <c r="P345" s="56"/>
      <c r="Q345" s="57"/>
      <c r="R345" s="58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</row>
    <row r="346" spans="1:28" ht="14.4" x14ac:dyDescent="0.3">
      <c r="A346" s="50"/>
      <c r="B346" s="61">
        <v>43593</v>
      </c>
      <c r="C346" s="62" t="s">
        <v>29</v>
      </c>
      <c r="D346" s="62" t="s">
        <v>30</v>
      </c>
      <c r="E346" s="53">
        <f>SUM(F346:N346)</f>
        <v>2</v>
      </c>
      <c r="F346" s="63"/>
      <c r="G346" s="63"/>
      <c r="H346" s="63"/>
      <c r="I346" s="63"/>
      <c r="J346" s="63">
        <v>1</v>
      </c>
      <c r="K346" s="63">
        <v>1</v>
      </c>
      <c r="L346" s="63"/>
      <c r="M346" s="63"/>
      <c r="N346" s="63"/>
      <c r="O346" s="64" t="s">
        <v>716</v>
      </c>
      <c r="P346" s="56"/>
      <c r="Q346" s="57"/>
      <c r="R346" s="58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</row>
    <row r="347" spans="1:28" ht="14.4" x14ac:dyDescent="0.3">
      <c r="A347" s="50"/>
      <c r="B347" s="61">
        <v>43593</v>
      </c>
      <c r="C347" s="62" t="s">
        <v>59</v>
      </c>
      <c r="D347" s="62" t="s">
        <v>60</v>
      </c>
      <c r="E347" s="53">
        <f>SUM(F347:N347)</f>
        <v>1</v>
      </c>
      <c r="F347" s="63"/>
      <c r="G347" s="63"/>
      <c r="H347" s="63"/>
      <c r="I347" s="63"/>
      <c r="J347" s="63"/>
      <c r="K347" s="63">
        <v>1</v>
      </c>
      <c r="L347" s="63"/>
      <c r="M347" s="63"/>
      <c r="N347" s="63"/>
      <c r="O347" s="64" t="s">
        <v>237</v>
      </c>
      <c r="P347" s="56"/>
      <c r="Q347" s="57"/>
      <c r="R347" s="58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</row>
    <row r="348" spans="1:28" ht="14.4" x14ac:dyDescent="0.3">
      <c r="A348" s="50"/>
      <c r="B348" s="61">
        <v>43593</v>
      </c>
      <c r="C348" s="62" t="s">
        <v>41</v>
      </c>
      <c r="D348" s="62" t="s">
        <v>42</v>
      </c>
      <c r="E348" s="53">
        <f>SUM(F348:N348)</f>
        <v>1</v>
      </c>
      <c r="F348" s="63"/>
      <c r="G348" s="63"/>
      <c r="H348" s="63"/>
      <c r="I348" s="63"/>
      <c r="J348" s="63">
        <v>1</v>
      </c>
      <c r="K348" s="63"/>
      <c r="L348" s="63"/>
      <c r="M348" s="63"/>
      <c r="N348" s="63"/>
      <c r="O348" s="64" t="s">
        <v>403</v>
      </c>
      <c r="P348" s="56"/>
      <c r="Q348" s="57"/>
      <c r="R348" s="58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</row>
    <row r="349" spans="1:28" ht="14.4" x14ac:dyDescent="0.3">
      <c r="A349" s="50"/>
      <c r="B349" s="61">
        <v>43593</v>
      </c>
      <c r="C349" s="62" t="s">
        <v>44</v>
      </c>
      <c r="D349" s="62" t="s">
        <v>45</v>
      </c>
      <c r="E349" s="53">
        <f>SUM(F349:N349)</f>
        <v>2</v>
      </c>
      <c r="F349" s="63"/>
      <c r="G349" s="63"/>
      <c r="H349" s="63"/>
      <c r="I349" s="63"/>
      <c r="J349" s="63">
        <v>2</v>
      </c>
      <c r="K349" s="63"/>
      <c r="L349" s="63"/>
      <c r="M349" s="63"/>
      <c r="N349" s="63"/>
      <c r="O349" s="64" t="s">
        <v>385</v>
      </c>
      <c r="P349" s="56"/>
      <c r="Q349" s="57"/>
      <c r="R349" s="58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</row>
    <row r="350" spans="1:28" ht="14.4" x14ac:dyDescent="0.3">
      <c r="A350" s="50"/>
      <c r="B350" s="61">
        <v>43593</v>
      </c>
      <c r="C350" s="62" t="s">
        <v>92</v>
      </c>
      <c r="D350" s="62" t="s">
        <v>69</v>
      </c>
      <c r="E350" s="53">
        <f>SUM(F350:N350)</f>
        <v>3</v>
      </c>
      <c r="F350" s="63"/>
      <c r="G350" s="63"/>
      <c r="H350" s="63"/>
      <c r="I350" s="63"/>
      <c r="J350" s="63">
        <v>3</v>
      </c>
      <c r="K350" s="63"/>
      <c r="L350" s="63"/>
      <c r="M350" s="63"/>
      <c r="N350" s="63"/>
      <c r="O350" s="64" t="s">
        <v>505</v>
      </c>
      <c r="P350" s="56"/>
      <c r="Q350" s="57"/>
      <c r="R350" s="58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</row>
    <row r="351" spans="1:28" ht="14.4" x14ac:dyDescent="0.3">
      <c r="A351" s="50"/>
      <c r="B351" s="61">
        <v>43593</v>
      </c>
      <c r="C351" s="62" t="s">
        <v>20</v>
      </c>
      <c r="D351" s="62" t="s">
        <v>21</v>
      </c>
      <c r="E351" s="53">
        <f>SUM(F351:N351)</f>
        <v>4</v>
      </c>
      <c r="F351" s="63">
        <v>1</v>
      </c>
      <c r="G351" s="63"/>
      <c r="H351" s="63">
        <v>1</v>
      </c>
      <c r="I351" s="63">
        <v>1</v>
      </c>
      <c r="J351" s="63">
        <v>1</v>
      </c>
      <c r="K351" s="63"/>
      <c r="L351" s="63"/>
      <c r="M351" s="63"/>
      <c r="N351" s="63"/>
      <c r="O351" s="64" t="s">
        <v>415</v>
      </c>
      <c r="P351" s="56"/>
      <c r="Q351" s="57"/>
      <c r="R351" s="58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</row>
    <row r="352" spans="1:28" ht="14.4" x14ac:dyDescent="0.3">
      <c r="A352" s="50"/>
      <c r="B352" s="61">
        <v>43593</v>
      </c>
      <c r="C352" s="62" t="s">
        <v>23</v>
      </c>
      <c r="D352" s="62" t="s">
        <v>24</v>
      </c>
      <c r="E352" s="53">
        <f>SUM(F352:N352)</f>
        <v>2</v>
      </c>
      <c r="F352" s="63"/>
      <c r="G352" s="63">
        <v>1</v>
      </c>
      <c r="H352" s="63">
        <v>1</v>
      </c>
      <c r="I352" s="63"/>
      <c r="J352" s="63"/>
      <c r="K352" s="63"/>
      <c r="L352" s="63"/>
      <c r="M352" s="63"/>
      <c r="N352" s="63"/>
      <c r="O352" s="64" t="s">
        <v>870</v>
      </c>
      <c r="P352" s="56"/>
      <c r="Q352" s="57"/>
      <c r="R352" s="58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</row>
    <row r="353" spans="1:28" ht="14.4" x14ac:dyDescent="0.3">
      <c r="A353" s="50"/>
      <c r="B353" s="61">
        <v>43593</v>
      </c>
      <c r="C353" s="62" t="s">
        <v>56</v>
      </c>
      <c r="D353" s="62" t="s">
        <v>57</v>
      </c>
      <c r="E353" s="53">
        <f>SUM(F353:N353)</f>
        <v>1</v>
      </c>
      <c r="F353" s="63"/>
      <c r="G353" s="63"/>
      <c r="H353" s="63"/>
      <c r="I353" s="63"/>
      <c r="J353" s="63">
        <v>1</v>
      </c>
      <c r="K353" s="63"/>
      <c r="L353" s="63"/>
      <c r="M353" s="63"/>
      <c r="N353" s="63"/>
      <c r="O353" s="64" t="s">
        <v>215</v>
      </c>
      <c r="P353" s="56"/>
      <c r="Q353" s="57"/>
      <c r="R353" s="58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</row>
    <row r="354" spans="1:28" ht="14.4" x14ac:dyDescent="0.3">
      <c r="A354" s="50"/>
      <c r="B354" s="61">
        <v>43593</v>
      </c>
      <c r="C354" s="62" t="s">
        <v>50</v>
      </c>
      <c r="D354" s="62" t="s">
        <v>51</v>
      </c>
      <c r="E354" s="53">
        <f>SUM(F354:N354)</f>
        <v>1</v>
      </c>
      <c r="F354" s="63"/>
      <c r="G354" s="63"/>
      <c r="H354" s="63"/>
      <c r="I354" s="63"/>
      <c r="J354" s="63">
        <v>1</v>
      </c>
      <c r="K354" s="63"/>
      <c r="L354" s="63"/>
      <c r="M354" s="63"/>
      <c r="N354" s="63"/>
      <c r="O354" s="64" t="s">
        <v>761</v>
      </c>
      <c r="P354" s="56"/>
      <c r="Q354" s="57"/>
      <c r="R354" s="58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</row>
    <row r="355" spans="1:28" ht="14.4" x14ac:dyDescent="0.3">
      <c r="A355" s="50"/>
      <c r="B355" s="61">
        <v>43593</v>
      </c>
      <c r="C355" s="62" t="s">
        <v>65</v>
      </c>
      <c r="D355" s="62" t="s">
        <v>66</v>
      </c>
      <c r="E355" s="53">
        <f>SUM(F355:N355)</f>
        <v>1</v>
      </c>
      <c r="F355" s="63"/>
      <c r="G355" s="63"/>
      <c r="H355" s="63"/>
      <c r="I355" s="63"/>
      <c r="J355" s="63">
        <v>1</v>
      </c>
      <c r="K355" s="63"/>
      <c r="L355" s="63"/>
      <c r="M355" s="63"/>
      <c r="N355" s="63"/>
      <c r="O355" s="64" t="s">
        <v>761</v>
      </c>
      <c r="P355" s="56"/>
      <c r="Q355" s="57"/>
      <c r="R355" s="58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</row>
    <row r="356" spans="1:28" ht="14.4" x14ac:dyDescent="0.3">
      <c r="A356" s="50"/>
      <c r="B356" s="61">
        <v>43594</v>
      </c>
      <c r="C356" s="62" t="s">
        <v>47</v>
      </c>
      <c r="D356" s="62" t="s">
        <v>48</v>
      </c>
      <c r="E356" s="53">
        <f>SUM(F356:N356)</f>
        <v>2</v>
      </c>
      <c r="F356" s="63"/>
      <c r="G356" s="63">
        <v>2</v>
      </c>
      <c r="H356" s="63"/>
      <c r="I356" s="63"/>
      <c r="J356" s="63"/>
      <c r="K356" s="63"/>
      <c r="L356" s="63"/>
      <c r="M356" s="63"/>
      <c r="N356" s="63"/>
      <c r="O356" s="64" t="s">
        <v>341</v>
      </c>
      <c r="P356" s="56"/>
      <c r="Q356" s="57"/>
      <c r="R356" s="58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</row>
    <row r="357" spans="1:28" ht="14.4" x14ac:dyDescent="0.3">
      <c r="A357" s="50"/>
      <c r="B357" s="61">
        <v>43595</v>
      </c>
      <c r="C357" s="62" t="s">
        <v>17</v>
      </c>
      <c r="D357" s="62" t="s">
        <v>18</v>
      </c>
      <c r="E357" s="53">
        <f>SUM(F357:N357)</f>
        <v>9</v>
      </c>
      <c r="F357" s="63"/>
      <c r="G357" s="63"/>
      <c r="H357" s="63">
        <v>2</v>
      </c>
      <c r="I357" s="63">
        <v>7</v>
      </c>
      <c r="J357" s="63"/>
      <c r="K357" s="63"/>
      <c r="L357" s="63"/>
      <c r="M357" s="63"/>
      <c r="N357" s="63"/>
      <c r="O357" s="64" t="s">
        <v>282</v>
      </c>
      <c r="P357" s="56"/>
      <c r="Q357" s="57"/>
      <c r="R357" s="58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</row>
    <row r="358" spans="1:28" ht="14.4" x14ac:dyDescent="0.3">
      <c r="A358" s="50"/>
      <c r="B358" s="61">
        <v>43595</v>
      </c>
      <c r="C358" s="62" t="s">
        <v>97</v>
      </c>
      <c r="D358" s="62" t="s">
        <v>98</v>
      </c>
      <c r="E358" s="53">
        <f>SUM(F358:N358)</f>
        <v>4</v>
      </c>
      <c r="F358" s="63"/>
      <c r="G358" s="63"/>
      <c r="H358" s="63"/>
      <c r="I358" s="63">
        <v>3</v>
      </c>
      <c r="J358" s="63">
        <v>1</v>
      </c>
      <c r="K358" s="63"/>
      <c r="L358" s="63"/>
      <c r="M358" s="63"/>
      <c r="N358" s="63"/>
      <c r="O358" s="64" t="s">
        <v>786</v>
      </c>
      <c r="P358" s="56"/>
      <c r="Q358" s="57"/>
      <c r="R358" s="58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</row>
    <row r="359" spans="1:28" ht="14.4" x14ac:dyDescent="0.3">
      <c r="A359" s="50"/>
      <c r="B359" s="61">
        <v>43595</v>
      </c>
      <c r="C359" s="62" t="s">
        <v>47</v>
      </c>
      <c r="D359" s="62" t="s">
        <v>48</v>
      </c>
      <c r="E359" s="53">
        <f>SUM(F359:N359)</f>
        <v>2</v>
      </c>
      <c r="F359" s="63"/>
      <c r="G359" s="63">
        <v>1</v>
      </c>
      <c r="H359" s="63">
        <v>1</v>
      </c>
      <c r="I359" s="63"/>
      <c r="J359" s="63"/>
      <c r="K359" s="63"/>
      <c r="L359" s="63"/>
      <c r="M359" s="63"/>
      <c r="N359" s="63"/>
      <c r="O359" s="64" t="s">
        <v>342</v>
      </c>
      <c r="P359" s="56"/>
      <c r="Q359" s="57"/>
      <c r="R359" s="58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</row>
    <row r="360" spans="1:28" ht="14.4" x14ac:dyDescent="0.3">
      <c r="A360" s="50"/>
      <c r="B360" s="61">
        <v>43596</v>
      </c>
      <c r="C360" s="62" t="s">
        <v>38</v>
      </c>
      <c r="D360" s="62" t="s">
        <v>39</v>
      </c>
      <c r="E360" s="53">
        <f>SUM(F360:N360)</f>
        <v>1</v>
      </c>
      <c r="F360" s="63"/>
      <c r="G360" s="63"/>
      <c r="H360" s="63">
        <v>1</v>
      </c>
      <c r="I360" s="63"/>
      <c r="J360" s="63"/>
      <c r="K360" s="63"/>
      <c r="L360" s="63"/>
      <c r="M360" s="63"/>
      <c r="N360" s="63"/>
      <c r="O360" s="64" t="s">
        <v>504</v>
      </c>
      <c r="P360" s="56"/>
      <c r="Q360" s="57"/>
      <c r="R360" s="58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</row>
    <row r="361" spans="1:28" ht="14.4" x14ac:dyDescent="0.3">
      <c r="A361" s="50"/>
      <c r="B361" s="61">
        <v>43596</v>
      </c>
      <c r="C361" s="62" t="s">
        <v>59</v>
      </c>
      <c r="D361" s="62" t="s">
        <v>60</v>
      </c>
      <c r="E361" s="53">
        <f>SUM(F361:N361)</f>
        <v>1</v>
      </c>
      <c r="F361" s="63"/>
      <c r="G361" s="63"/>
      <c r="H361" s="63"/>
      <c r="I361" s="63"/>
      <c r="J361" s="63"/>
      <c r="K361" s="63">
        <v>1</v>
      </c>
      <c r="L361" s="63"/>
      <c r="M361" s="63"/>
      <c r="N361" s="63"/>
      <c r="O361" s="64" t="s">
        <v>238</v>
      </c>
      <c r="P361" s="56"/>
      <c r="Q361" s="57"/>
      <c r="R361" s="58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</row>
    <row r="362" spans="1:28" ht="14.4" x14ac:dyDescent="0.3">
      <c r="A362" s="50"/>
      <c r="B362" s="61">
        <v>43596</v>
      </c>
      <c r="C362" s="62" t="s">
        <v>26</v>
      </c>
      <c r="D362" s="62" t="s">
        <v>27</v>
      </c>
      <c r="E362" s="53">
        <f>SUM(F362:N362)</f>
        <v>3</v>
      </c>
      <c r="F362" s="63"/>
      <c r="G362" s="63"/>
      <c r="H362" s="63"/>
      <c r="I362" s="63">
        <v>3</v>
      </c>
      <c r="J362" s="63"/>
      <c r="K362" s="63"/>
      <c r="L362" s="63"/>
      <c r="M362" s="63"/>
      <c r="N362" s="63"/>
      <c r="O362" s="64" t="s">
        <v>546</v>
      </c>
      <c r="P362" s="56"/>
      <c r="Q362" s="57"/>
      <c r="R362" s="58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</row>
    <row r="363" spans="1:28" ht="14.4" x14ac:dyDescent="0.3">
      <c r="A363" s="50"/>
      <c r="B363" s="61">
        <v>43596</v>
      </c>
      <c r="C363" s="62" t="s">
        <v>145</v>
      </c>
      <c r="D363" s="62" t="s">
        <v>146</v>
      </c>
      <c r="E363" s="53">
        <f>SUM(F363:N363)</f>
        <v>2</v>
      </c>
      <c r="F363" s="63"/>
      <c r="G363" s="63"/>
      <c r="H363" s="63"/>
      <c r="I363" s="63">
        <v>1</v>
      </c>
      <c r="J363" s="63">
        <v>1</v>
      </c>
      <c r="K363" s="63"/>
      <c r="L363" s="63"/>
      <c r="M363" s="63"/>
      <c r="N363" s="63"/>
      <c r="O363" s="64" t="s">
        <v>190</v>
      </c>
      <c r="P363" s="56"/>
      <c r="Q363" s="57"/>
      <c r="R363" s="58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 spans="1:28" ht="14.4" x14ac:dyDescent="0.3">
      <c r="A364" s="50"/>
      <c r="B364" s="61">
        <v>43596</v>
      </c>
      <c r="C364" s="62" t="s">
        <v>97</v>
      </c>
      <c r="D364" s="62" t="s">
        <v>98</v>
      </c>
      <c r="E364" s="53">
        <f>SUM(F364:N364)</f>
        <v>2</v>
      </c>
      <c r="F364" s="63"/>
      <c r="G364" s="63">
        <v>1</v>
      </c>
      <c r="H364" s="63">
        <v>1</v>
      </c>
      <c r="I364" s="63"/>
      <c r="J364" s="63"/>
      <c r="K364" s="63"/>
      <c r="L364" s="63"/>
      <c r="M364" s="63"/>
      <c r="N364" s="63"/>
      <c r="O364" s="64" t="s">
        <v>787</v>
      </c>
      <c r="P364" s="56"/>
      <c r="Q364" s="57"/>
      <c r="R364" s="58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 spans="1:28" ht="14.4" x14ac:dyDescent="0.3">
      <c r="A365" s="50"/>
      <c r="B365" s="61">
        <v>43596</v>
      </c>
      <c r="C365" s="62" t="s">
        <v>20</v>
      </c>
      <c r="D365" s="62" t="s">
        <v>21</v>
      </c>
      <c r="E365" s="53">
        <f>SUM(F365:N365)</f>
        <v>5</v>
      </c>
      <c r="F365" s="63"/>
      <c r="G365" s="63">
        <v>2</v>
      </c>
      <c r="H365" s="63">
        <v>2</v>
      </c>
      <c r="I365" s="63"/>
      <c r="J365" s="63">
        <v>1</v>
      </c>
      <c r="K365" s="63"/>
      <c r="L365" s="63"/>
      <c r="M365" s="63"/>
      <c r="N365" s="63"/>
      <c r="O365" s="64" t="s">
        <v>416</v>
      </c>
      <c r="P365" s="56"/>
      <c r="Q365" s="57"/>
      <c r="R365" s="58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 spans="1:28" ht="14.4" x14ac:dyDescent="0.3">
      <c r="A366" s="50"/>
      <c r="B366" s="61">
        <v>43597</v>
      </c>
      <c r="C366" s="62" t="s">
        <v>38</v>
      </c>
      <c r="D366" s="62" t="s">
        <v>39</v>
      </c>
      <c r="E366" s="53">
        <f>SUM(F366:N366)</f>
        <v>3</v>
      </c>
      <c r="F366" s="63"/>
      <c r="G366" s="63"/>
      <c r="H366" s="63"/>
      <c r="I366" s="63"/>
      <c r="J366" s="63">
        <v>3</v>
      </c>
      <c r="K366" s="63"/>
      <c r="L366" s="63"/>
      <c r="M366" s="63"/>
      <c r="N366" s="63"/>
      <c r="O366" s="64" t="s">
        <v>505</v>
      </c>
      <c r="P366" s="56"/>
      <c r="Q366" s="68" t="s">
        <v>945</v>
      </c>
      <c r="R366" s="58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 spans="1:28" ht="14.4" x14ac:dyDescent="0.3">
      <c r="A367" s="50"/>
      <c r="B367" s="61">
        <v>43597</v>
      </c>
      <c r="C367" s="62" t="s">
        <v>56</v>
      </c>
      <c r="D367" s="62" t="s">
        <v>57</v>
      </c>
      <c r="E367" s="53">
        <f>SUM(F367:N367)</f>
        <v>4</v>
      </c>
      <c r="F367" s="63"/>
      <c r="G367" s="63">
        <v>1</v>
      </c>
      <c r="H367" s="63"/>
      <c r="I367" s="63"/>
      <c r="J367" s="63">
        <v>3</v>
      </c>
      <c r="K367" s="63"/>
      <c r="L367" s="63"/>
      <c r="M367" s="63"/>
      <c r="N367" s="63"/>
      <c r="O367" s="64" t="s">
        <v>216</v>
      </c>
      <c r="P367" s="56"/>
      <c r="Q367" s="57"/>
      <c r="R367" s="58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</row>
    <row r="368" spans="1:28" ht="14.4" x14ac:dyDescent="0.3">
      <c r="A368" s="50"/>
      <c r="B368" s="61">
        <v>43597</v>
      </c>
      <c r="C368" s="62" t="s">
        <v>145</v>
      </c>
      <c r="D368" s="62" t="s">
        <v>146</v>
      </c>
      <c r="E368" s="53">
        <f>SUM(F368:N368)</f>
        <v>1</v>
      </c>
      <c r="F368" s="63"/>
      <c r="G368" s="63"/>
      <c r="H368" s="63"/>
      <c r="I368" s="63"/>
      <c r="J368" s="63">
        <v>1</v>
      </c>
      <c r="K368" s="63"/>
      <c r="L368" s="63"/>
      <c r="M368" s="63"/>
      <c r="N368" s="63"/>
      <c r="O368" s="64" t="s">
        <v>467</v>
      </c>
      <c r="P368" s="56"/>
      <c r="Q368" s="57"/>
      <c r="R368" s="58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</row>
    <row r="369" spans="1:28" ht="14.4" x14ac:dyDescent="0.3">
      <c r="A369" s="50"/>
      <c r="B369" s="61">
        <v>43597</v>
      </c>
      <c r="C369" s="62" t="s">
        <v>47</v>
      </c>
      <c r="D369" s="62" t="s">
        <v>48</v>
      </c>
      <c r="E369" s="53">
        <f>SUM(F369:N369)</f>
        <v>2</v>
      </c>
      <c r="F369" s="63"/>
      <c r="G369" s="63">
        <v>1</v>
      </c>
      <c r="H369" s="63"/>
      <c r="I369" s="63"/>
      <c r="J369" s="63">
        <v>1</v>
      </c>
      <c r="K369" s="63"/>
      <c r="L369" s="63"/>
      <c r="M369" s="63"/>
      <c r="N369" s="63"/>
      <c r="O369" s="64" t="s">
        <v>343</v>
      </c>
      <c r="P369" s="56"/>
      <c r="Q369" s="57"/>
      <c r="R369" s="58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</row>
    <row r="370" spans="1:28" ht="14.4" x14ac:dyDescent="0.3">
      <c r="A370" s="50"/>
      <c r="B370" s="61">
        <v>43597</v>
      </c>
      <c r="C370" s="62" t="s">
        <v>20</v>
      </c>
      <c r="D370" s="62" t="s">
        <v>21</v>
      </c>
      <c r="E370" s="53">
        <f>SUM(F370:N370)</f>
        <v>4</v>
      </c>
      <c r="F370" s="63"/>
      <c r="G370" s="63">
        <v>3</v>
      </c>
      <c r="H370" s="63">
        <v>1</v>
      </c>
      <c r="I370" s="63"/>
      <c r="J370" s="63"/>
      <c r="K370" s="63"/>
      <c r="L370" s="63"/>
      <c r="M370" s="63"/>
      <c r="N370" s="63"/>
      <c r="O370" s="64" t="s">
        <v>417</v>
      </c>
      <c r="P370" s="56"/>
      <c r="Q370" s="57"/>
      <c r="R370" s="58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</row>
    <row r="371" spans="1:28" ht="14.4" x14ac:dyDescent="0.3">
      <c r="A371" s="50"/>
      <c r="B371" s="61">
        <v>43599</v>
      </c>
      <c r="C371" s="62" t="s">
        <v>121</v>
      </c>
      <c r="D371" s="62" t="s">
        <v>122</v>
      </c>
      <c r="E371" s="53">
        <f>SUM(F371:N371)</f>
        <v>5</v>
      </c>
      <c r="F371" s="63">
        <v>1</v>
      </c>
      <c r="G371" s="63"/>
      <c r="H371" s="63"/>
      <c r="I371" s="63">
        <v>2</v>
      </c>
      <c r="J371" s="63">
        <v>2</v>
      </c>
      <c r="K371" s="63"/>
      <c r="L371" s="63"/>
      <c r="M371" s="63"/>
      <c r="N371" s="63"/>
      <c r="O371" s="64" t="s">
        <v>208</v>
      </c>
      <c r="P371" s="56"/>
      <c r="Q371" s="57"/>
      <c r="R371" s="58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</row>
    <row r="372" spans="1:28" ht="14.4" x14ac:dyDescent="0.3">
      <c r="A372" s="50"/>
      <c r="B372" s="61">
        <v>43599</v>
      </c>
      <c r="C372" s="62" t="s">
        <v>41</v>
      </c>
      <c r="D372" s="62" t="s">
        <v>42</v>
      </c>
      <c r="E372" s="53">
        <f>SUM(F372:N372)</f>
        <v>6</v>
      </c>
      <c r="F372" s="63">
        <v>1</v>
      </c>
      <c r="G372" s="63"/>
      <c r="H372" s="63"/>
      <c r="I372" s="63">
        <v>1</v>
      </c>
      <c r="J372" s="63">
        <v>4</v>
      </c>
      <c r="K372" s="63"/>
      <c r="L372" s="63"/>
      <c r="M372" s="63"/>
      <c r="N372" s="63"/>
      <c r="O372" s="64" t="s">
        <v>571</v>
      </c>
      <c r="P372" s="56"/>
      <c r="Q372" s="57"/>
      <c r="R372" s="58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</row>
    <row r="373" spans="1:28" ht="14.4" x14ac:dyDescent="0.3">
      <c r="A373" s="50"/>
      <c r="B373" s="61">
        <v>43599</v>
      </c>
      <c r="C373" s="62" t="s">
        <v>112</v>
      </c>
      <c r="D373" s="62" t="s">
        <v>113</v>
      </c>
      <c r="E373" s="53">
        <f>SUM(F373:N373)</f>
        <v>2</v>
      </c>
      <c r="F373" s="63"/>
      <c r="G373" s="63"/>
      <c r="H373" s="63"/>
      <c r="I373" s="63">
        <v>1</v>
      </c>
      <c r="J373" s="63">
        <v>1</v>
      </c>
      <c r="K373" s="63"/>
      <c r="L373" s="63"/>
      <c r="M373" s="63"/>
      <c r="N373" s="63"/>
      <c r="O373" s="64" t="s">
        <v>183</v>
      </c>
      <c r="P373" s="56"/>
      <c r="Q373" s="57"/>
      <c r="R373" s="58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</row>
    <row r="374" spans="1:28" ht="14.4" x14ac:dyDescent="0.3">
      <c r="A374" s="50"/>
      <c r="B374" s="61">
        <v>43600</v>
      </c>
      <c r="C374" s="62" t="s">
        <v>32</v>
      </c>
      <c r="D374" s="62" t="s">
        <v>33</v>
      </c>
      <c r="E374" s="53">
        <f>SUM(F374:N374)</f>
        <v>2</v>
      </c>
      <c r="F374" s="63"/>
      <c r="G374" s="63"/>
      <c r="H374" s="63"/>
      <c r="I374" s="63"/>
      <c r="J374" s="63">
        <v>2</v>
      </c>
      <c r="K374" s="63"/>
      <c r="L374" s="63"/>
      <c r="M374" s="63"/>
      <c r="N374" s="63"/>
      <c r="O374" s="64" t="s">
        <v>646</v>
      </c>
      <c r="P374" s="56"/>
      <c r="Q374" s="57"/>
      <c r="R374" s="58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</row>
    <row r="375" spans="1:28" ht="14.4" x14ac:dyDescent="0.3">
      <c r="A375" s="50"/>
      <c r="B375" s="61">
        <v>43601</v>
      </c>
      <c r="C375" s="62" t="s">
        <v>32</v>
      </c>
      <c r="D375" s="62" t="s">
        <v>33</v>
      </c>
      <c r="E375" s="53">
        <f>SUM(F375:N375)</f>
        <v>2</v>
      </c>
      <c r="F375" s="63"/>
      <c r="G375" s="63"/>
      <c r="H375" s="63">
        <v>1</v>
      </c>
      <c r="I375" s="63">
        <v>1</v>
      </c>
      <c r="J375" s="63"/>
      <c r="K375" s="63"/>
      <c r="L375" s="63"/>
      <c r="M375" s="63"/>
      <c r="N375" s="63"/>
      <c r="O375" s="64" t="s">
        <v>647</v>
      </c>
      <c r="P375" s="56"/>
      <c r="Q375" s="57"/>
      <c r="R375" s="58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</row>
    <row r="376" spans="1:28" ht="14.4" x14ac:dyDescent="0.3">
      <c r="A376" s="50"/>
      <c r="B376" s="61">
        <v>43602</v>
      </c>
      <c r="C376" s="62" t="s">
        <v>29</v>
      </c>
      <c r="D376" s="62" t="s">
        <v>30</v>
      </c>
      <c r="E376" s="53">
        <f>SUM(F376:N376)</f>
        <v>5</v>
      </c>
      <c r="F376" s="63"/>
      <c r="G376" s="63">
        <v>1</v>
      </c>
      <c r="H376" s="63">
        <v>3</v>
      </c>
      <c r="I376" s="63"/>
      <c r="J376" s="63">
        <v>1</v>
      </c>
      <c r="K376" s="63"/>
      <c r="L376" s="63"/>
      <c r="M376" s="63"/>
      <c r="N376" s="63"/>
      <c r="O376" s="64" t="s">
        <v>717</v>
      </c>
      <c r="P376" s="56"/>
      <c r="Q376" s="57"/>
      <c r="R376" s="58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</row>
    <row r="377" spans="1:28" ht="14.4" x14ac:dyDescent="0.3">
      <c r="A377" s="50"/>
      <c r="B377" s="61">
        <v>43602</v>
      </c>
      <c r="C377" s="62" t="s">
        <v>80</v>
      </c>
      <c r="D377" s="62" t="s">
        <v>81</v>
      </c>
      <c r="E377" s="53">
        <f>SUM(F377:N377)</f>
        <v>1</v>
      </c>
      <c r="F377" s="63"/>
      <c r="G377" s="63"/>
      <c r="H377" s="63"/>
      <c r="I377" s="63"/>
      <c r="J377" s="63">
        <v>1</v>
      </c>
      <c r="K377" s="63"/>
      <c r="L377" s="63"/>
      <c r="M377" s="63"/>
      <c r="N377" s="63"/>
      <c r="O377" s="64" t="s">
        <v>192</v>
      </c>
      <c r="P377" s="56"/>
      <c r="Q377" s="57"/>
      <c r="R377" s="58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</row>
    <row r="378" spans="1:28" ht="14.4" x14ac:dyDescent="0.3">
      <c r="A378" s="50"/>
      <c r="B378" s="61">
        <v>43602</v>
      </c>
      <c r="C378" s="62" t="s">
        <v>32</v>
      </c>
      <c r="D378" s="62" t="s">
        <v>33</v>
      </c>
      <c r="E378" s="53">
        <f>SUM(F378:N378)</f>
        <v>1</v>
      </c>
      <c r="F378" s="63"/>
      <c r="G378" s="63"/>
      <c r="H378" s="63"/>
      <c r="I378" s="63">
        <v>1</v>
      </c>
      <c r="J378" s="63"/>
      <c r="K378" s="63"/>
      <c r="L378" s="63"/>
      <c r="M378" s="63"/>
      <c r="N378" s="63"/>
      <c r="O378" s="64" t="s">
        <v>648</v>
      </c>
      <c r="P378" s="56"/>
      <c r="Q378" s="57"/>
      <c r="R378" s="58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</row>
    <row r="379" spans="1:28" ht="14.4" x14ac:dyDescent="0.3">
      <c r="A379" s="50"/>
      <c r="B379" s="61">
        <v>43603</v>
      </c>
      <c r="C379" s="62" t="s">
        <v>41</v>
      </c>
      <c r="D379" s="62" t="s">
        <v>42</v>
      </c>
      <c r="E379" s="53">
        <f>SUM(F379:N379)</f>
        <v>4</v>
      </c>
      <c r="F379" s="63"/>
      <c r="G379" s="63">
        <v>1</v>
      </c>
      <c r="H379" s="63">
        <v>1</v>
      </c>
      <c r="I379" s="63"/>
      <c r="J379" s="63">
        <v>2</v>
      </c>
      <c r="K379" s="63"/>
      <c r="L379" s="63"/>
      <c r="M379" s="63"/>
      <c r="N379" s="63"/>
      <c r="O379" s="64" t="s">
        <v>572</v>
      </c>
      <c r="P379" s="56"/>
      <c r="Q379" s="57"/>
      <c r="R379" s="58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</row>
    <row r="380" spans="1:28" ht="14.4" x14ac:dyDescent="0.3">
      <c r="A380" s="50"/>
      <c r="B380" s="61">
        <v>43603</v>
      </c>
      <c r="C380" s="62" t="s">
        <v>59</v>
      </c>
      <c r="D380" s="62" t="s">
        <v>60</v>
      </c>
      <c r="E380" s="53">
        <f>SUM(F380:N380)</f>
        <v>1</v>
      </c>
      <c r="F380" s="63"/>
      <c r="G380" s="63"/>
      <c r="H380" s="63"/>
      <c r="I380" s="63"/>
      <c r="J380" s="63">
        <v>1</v>
      </c>
      <c r="K380" s="63"/>
      <c r="L380" s="63"/>
      <c r="M380" s="63"/>
      <c r="N380" s="63"/>
      <c r="O380" s="64" t="s">
        <v>239</v>
      </c>
      <c r="P380" s="56"/>
      <c r="Q380" s="57"/>
      <c r="R380" s="58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</row>
    <row r="381" spans="1:28" ht="14.4" x14ac:dyDescent="0.3">
      <c r="A381" s="50"/>
      <c r="B381" s="61">
        <v>43603</v>
      </c>
      <c r="C381" s="62" t="s">
        <v>29</v>
      </c>
      <c r="D381" s="62" t="s">
        <v>30</v>
      </c>
      <c r="E381" s="53">
        <f>SUM(F381:N381)</f>
        <v>5</v>
      </c>
      <c r="F381" s="63"/>
      <c r="G381" s="63">
        <v>2</v>
      </c>
      <c r="H381" s="63">
        <v>2</v>
      </c>
      <c r="I381" s="63"/>
      <c r="J381" s="63"/>
      <c r="K381" s="63">
        <v>1</v>
      </c>
      <c r="L381" s="63"/>
      <c r="M381" s="63"/>
      <c r="N381" s="63"/>
      <c r="O381" s="64" t="s">
        <v>718</v>
      </c>
      <c r="P381" s="56"/>
      <c r="Q381" s="57"/>
      <c r="R381" s="58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</row>
    <row r="382" spans="1:28" ht="14.4" x14ac:dyDescent="0.3">
      <c r="A382" s="50"/>
      <c r="B382" s="61">
        <v>43603</v>
      </c>
      <c r="C382" s="62" t="s">
        <v>38</v>
      </c>
      <c r="D382" s="62" t="s">
        <v>39</v>
      </c>
      <c r="E382" s="53">
        <f>SUM(F382:N382)</f>
        <v>4</v>
      </c>
      <c r="F382" s="63"/>
      <c r="G382" s="63">
        <v>1</v>
      </c>
      <c r="H382" s="63"/>
      <c r="I382" s="63"/>
      <c r="J382" s="63">
        <v>2</v>
      </c>
      <c r="K382" s="63">
        <v>1</v>
      </c>
      <c r="L382" s="63"/>
      <c r="M382" s="63"/>
      <c r="N382" s="63"/>
      <c r="O382" s="64" t="s">
        <v>506</v>
      </c>
      <c r="P382" s="56"/>
      <c r="Q382" s="70" t="s">
        <v>946</v>
      </c>
      <c r="R382" s="58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</row>
    <row r="383" spans="1:28" ht="14.4" x14ac:dyDescent="0.3">
      <c r="A383" s="50"/>
      <c r="B383" s="61">
        <v>43603</v>
      </c>
      <c r="C383" s="62" t="s">
        <v>32</v>
      </c>
      <c r="D383" s="62" t="s">
        <v>33</v>
      </c>
      <c r="E383" s="53">
        <f>SUM(F383:N383)</f>
        <v>4</v>
      </c>
      <c r="F383" s="63">
        <v>1</v>
      </c>
      <c r="G383" s="63"/>
      <c r="H383" s="63"/>
      <c r="I383" s="63"/>
      <c r="J383" s="63">
        <v>2</v>
      </c>
      <c r="K383" s="63">
        <v>1</v>
      </c>
      <c r="L383" s="63"/>
      <c r="M383" s="63"/>
      <c r="N383" s="63"/>
      <c r="O383" s="64" t="s">
        <v>649</v>
      </c>
      <c r="P383" s="56"/>
      <c r="Q383" s="57"/>
      <c r="R383" s="58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</row>
    <row r="384" spans="1:28" ht="14.4" x14ac:dyDescent="0.3">
      <c r="A384" s="50"/>
      <c r="B384" s="61">
        <v>43603</v>
      </c>
      <c r="C384" s="62" t="s">
        <v>157</v>
      </c>
      <c r="D384" s="62" t="s">
        <v>158</v>
      </c>
      <c r="E384" s="53">
        <f>SUM(F384:N384)</f>
        <v>1</v>
      </c>
      <c r="F384" s="63">
        <v>1</v>
      </c>
      <c r="G384" s="63"/>
      <c r="H384" s="63"/>
      <c r="I384" s="63"/>
      <c r="J384" s="63"/>
      <c r="K384" s="63"/>
      <c r="L384" s="63"/>
      <c r="M384" s="63"/>
      <c r="N384" s="63"/>
      <c r="O384" s="64" t="s">
        <v>682</v>
      </c>
      <c r="P384" s="56"/>
      <c r="Q384" s="57"/>
      <c r="R384" s="58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</row>
    <row r="385" spans="1:28" ht="14.4" x14ac:dyDescent="0.3">
      <c r="A385" s="50"/>
      <c r="B385" s="61">
        <v>43604</v>
      </c>
      <c r="C385" s="62" t="s">
        <v>71</v>
      </c>
      <c r="D385" s="62" t="s">
        <v>72</v>
      </c>
      <c r="E385" s="53">
        <f>SUM(F385:N385)</f>
        <v>1</v>
      </c>
      <c r="F385" s="63"/>
      <c r="G385" s="63"/>
      <c r="H385" s="63"/>
      <c r="I385" s="63"/>
      <c r="J385" s="63"/>
      <c r="K385" s="63">
        <v>1</v>
      </c>
      <c r="L385" s="63"/>
      <c r="M385" s="63"/>
      <c r="N385" s="63"/>
      <c r="O385" s="64" t="s">
        <v>615</v>
      </c>
      <c r="P385" s="56"/>
      <c r="Q385" s="57"/>
      <c r="R385" s="58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</row>
    <row r="386" spans="1:28" ht="14.4" x14ac:dyDescent="0.3">
      <c r="A386" s="50"/>
      <c r="B386" s="61">
        <v>43604</v>
      </c>
      <c r="C386" s="62" t="s">
        <v>29</v>
      </c>
      <c r="D386" s="62" t="s">
        <v>30</v>
      </c>
      <c r="E386" s="53">
        <f>SUM(F386:N386)</f>
        <v>4</v>
      </c>
      <c r="F386" s="63"/>
      <c r="G386" s="63"/>
      <c r="H386" s="63"/>
      <c r="I386" s="63"/>
      <c r="J386" s="63">
        <v>3</v>
      </c>
      <c r="K386" s="63">
        <v>1</v>
      </c>
      <c r="L386" s="63"/>
      <c r="M386" s="63"/>
      <c r="N386" s="63"/>
      <c r="O386" s="64" t="s">
        <v>719</v>
      </c>
      <c r="P386" s="56"/>
      <c r="Q386" s="57"/>
      <c r="R386" s="58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</row>
    <row r="387" spans="1:28" ht="14.4" x14ac:dyDescent="0.3">
      <c r="A387" s="50"/>
      <c r="B387" s="61">
        <v>43604</v>
      </c>
      <c r="C387" s="62" t="s">
        <v>17</v>
      </c>
      <c r="D387" s="62" t="s">
        <v>18</v>
      </c>
      <c r="E387" s="53">
        <f>SUM(F387:N387)</f>
        <v>7</v>
      </c>
      <c r="F387" s="63"/>
      <c r="G387" s="63"/>
      <c r="H387" s="63">
        <v>2</v>
      </c>
      <c r="I387" s="63"/>
      <c r="J387" s="63">
        <v>2</v>
      </c>
      <c r="K387" s="63">
        <v>3</v>
      </c>
      <c r="L387" s="63"/>
      <c r="M387" s="63"/>
      <c r="N387" s="63"/>
      <c r="O387" s="64" t="s">
        <v>283</v>
      </c>
      <c r="P387" s="56"/>
      <c r="Q387" s="57"/>
      <c r="R387" s="58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</row>
    <row r="388" spans="1:28" ht="14.4" x14ac:dyDescent="0.3">
      <c r="A388" s="50"/>
      <c r="B388" s="61">
        <v>43604</v>
      </c>
      <c r="C388" s="62" t="s">
        <v>26</v>
      </c>
      <c r="D388" s="62" t="s">
        <v>27</v>
      </c>
      <c r="E388" s="53">
        <f>SUM(F388:N388)</f>
        <v>2</v>
      </c>
      <c r="F388" s="63"/>
      <c r="G388" s="63"/>
      <c r="H388" s="63"/>
      <c r="I388" s="63"/>
      <c r="J388" s="63"/>
      <c r="K388" s="63">
        <v>2</v>
      </c>
      <c r="L388" s="63"/>
      <c r="M388" s="63"/>
      <c r="N388" s="63"/>
      <c r="O388" s="64" t="s">
        <v>547</v>
      </c>
      <c r="P388" s="56"/>
      <c r="Q388" s="57"/>
      <c r="R388" s="58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</row>
    <row r="389" spans="1:28" ht="14.4" x14ac:dyDescent="0.3">
      <c r="A389" s="50"/>
      <c r="B389" s="61">
        <v>43604</v>
      </c>
      <c r="C389" s="62" t="s">
        <v>23</v>
      </c>
      <c r="D389" s="62" t="s">
        <v>24</v>
      </c>
      <c r="E389" s="53">
        <f>SUM(F389:N389)</f>
        <v>5</v>
      </c>
      <c r="F389" s="63"/>
      <c r="G389" s="63"/>
      <c r="H389" s="63"/>
      <c r="I389" s="63">
        <v>4</v>
      </c>
      <c r="J389" s="63">
        <v>1</v>
      </c>
      <c r="K389" s="63"/>
      <c r="L389" s="63"/>
      <c r="M389" s="63"/>
      <c r="N389" s="63"/>
      <c r="O389" s="64" t="s">
        <v>871</v>
      </c>
      <c r="P389" s="56"/>
      <c r="Q389" s="57"/>
      <c r="R389" s="58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</row>
    <row r="390" spans="1:28" ht="14.4" x14ac:dyDescent="0.3">
      <c r="A390" s="50"/>
      <c r="B390" s="61">
        <v>43604</v>
      </c>
      <c r="C390" s="62" t="s">
        <v>103</v>
      </c>
      <c r="D390" s="62" t="s">
        <v>104</v>
      </c>
      <c r="E390" s="53">
        <f>SUM(F390:N390)</f>
        <v>1</v>
      </c>
      <c r="F390" s="63"/>
      <c r="G390" s="63"/>
      <c r="H390" s="63"/>
      <c r="I390" s="63"/>
      <c r="J390" s="63">
        <v>1</v>
      </c>
      <c r="K390" s="63"/>
      <c r="L390" s="63"/>
      <c r="M390" s="63"/>
      <c r="N390" s="63"/>
      <c r="O390" s="64" t="s">
        <v>397</v>
      </c>
      <c r="P390" s="56"/>
      <c r="Q390" s="57"/>
      <c r="R390" s="58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</row>
    <row r="391" spans="1:28" ht="14.4" x14ac:dyDescent="0.3">
      <c r="A391" s="50"/>
      <c r="B391" s="61">
        <v>43604</v>
      </c>
      <c r="C391" s="62" t="s">
        <v>47</v>
      </c>
      <c r="D391" s="62" t="s">
        <v>48</v>
      </c>
      <c r="E391" s="53">
        <f>SUM(F391:N391)</f>
        <v>5</v>
      </c>
      <c r="F391" s="63"/>
      <c r="G391" s="63"/>
      <c r="H391" s="63"/>
      <c r="I391" s="63"/>
      <c r="J391" s="63">
        <v>5</v>
      </c>
      <c r="K391" s="63"/>
      <c r="L391" s="63"/>
      <c r="M391" s="63"/>
      <c r="N391" s="63"/>
      <c r="O391" s="64" t="s">
        <v>344</v>
      </c>
      <c r="P391" s="56"/>
      <c r="Q391" s="57"/>
      <c r="R391" s="58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</row>
    <row r="392" spans="1:28" ht="14.4" x14ac:dyDescent="0.3">
      <c r="A392" s="50"/>
      <c r="B392" s="61">
        <v>43604</v>
      </c>
      <c r="C392" s="62" t="s">
        <v>97</v>
      </c>
      <c r="D392" s="62" t="s">
        <v>98</v>
      </c>
      <c r="E392" s="53">
        <f>SUM(F392:N392)</f>
        <v>1</v>
      </c>
      <c r="F392" s="63"/>
      <c r="G392" s="63">
        <v>1</v>
      </c>
      <c r="H392" s="63"/>
      <c r="I392" s="63"/>
      <c r="J392" s="63"/>
      <c r="K392" s="63"/>
      <c r="L392" s="63"/>
      <c r="M392" s="63"/>
      <c r="N392" s="63"/>
      <c r="O392" s="64" t="s">
        <v>788</v>
      </c>
      <c r="P392" s="56"/>
      <c r="Q392" s="57"/>
      <c r="R392" s="58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</row>
    <row r="393" spans="1:28" ht="14.4" x14ac:dyDescent="0.3">
      <c r="A393" s="50"/>
      <c r="B393" s="61">
        <v>43604</v>
      </c>
      <c r="C393" s="62" t="s">
        <v>32</v>
      </c>
      <c r="D393" s="62" t="s">
        <v>33</v>
      </c>
      <c r="E393" s="53">
        <f>SUM(F393:N393)</f>
        <v>3</v>
      </c>
      <c r="F393" s="63"/>
      <c r="G393" s="63"/>
      <c r="H393" s="63"/>
      <c r="I393" s="63">
        <v>1</v>
      </c>
      <c r="J393" s="63">
        <v>1</v>
      </c>
      <c r="K393" s="63"/>
      <c r="L393" s="63">
        <v>1</v>
      </c>
      <c r="M393" s="63"/>
      <c r="N393" s="63"/>
      <c r="O393" s="64" t="s">
        <v>650</v>
      </c>
      <c r="P393" s="56"/>
      <c r="Q393" s="57"/>
      <c r="R393" s="58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</row>
    <row r="394" spans="1:28" ht="14.4" x14ac:dyDescent="0.3">
      <c r="A394" s="50"/>
      <c r="B394" s="61">
        <v>43605</v>
      </c>
      <c r="C394" s="62" t="s">
        <v>32</v>
      </c>
      <c r="D394" s="62" t="s">
        <v>33</v>
      </c>
      <c r="E394" s="53">
        <f>SUM(F394:N394)</f>
        <v>3</v>
      </c>
      <c r="F394" s="63"/>
      <c r="G394" s="63"/>
      <c r="H394" s="63">
        <v>1</v>
      </c>
      <c r="I394" s="63"/>
      <c r="J394" s="63"/>
      <c r="K394" s="63">
        <v>2</v>
      </c>
      <c r="L394" s="63"/>
      <c r="M394" s="63"/>
      <c r="N394" s="63"/>
      <c r="O394" s="64" t="s">
        <v>651</v>
      </c>
      <c r="P394" s="56"/>
      <c r="Q394" s="71"/>
      <c r="R394" s="58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</row>
    <row r="395" spans="1:28" ht="14.4" x14ac:dyDescent="0.3">
      <c r="A395" s="50"/>
      <c r="B395" s="61">
        <v>43606</v>
      </c>
      <c r="C395" s="62" t="s">
        <v>32</v>
      </c>
      <c r="D395" s="62" t="s">
        <v>33</v>
      </c>
      <c r="E395" s="53">
        <f>SUM(F395:N395)</f>
        <v>1</v>
      </c>
      <c r="F395" s="63"/>
      <c r="G395" s="63"/>
      <c r="H395" s="63"/>
      <c r="I395" s="63"/>
      <c r="J395" s="63">
        <v>1</v>
      </c>
      <c r="K395" s="63"/>
      <c r="L395" s="63"/>
      <c r="M395" s="63"/>
      <c r="N395" s="63"/>
      <c r="O395" s="64" t="s">
        <v>652</v>
      </c>
      <c r="P395" s="56"/>
      <c r="Q395" s="57"/>
      <c r="R395" s="58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</row>
    <row r="396" spans="1:28" ht="14.4" x14ac:dyDescent="0.3">
      <c r="A396" s="50"/>
      <c r="B396" s="61">
        <v>43608</v>
      </c>
      <c r="C396" s="62" t="s">
        <v>56</v>
      </c>
      <c r="D396" s="62" t="s">
        <v>57</v>
      </c>
      <c r="E396" s="53">
        <f>SUM(F396:N396)</f>
        <v>3</v>
      </c>
      <c r="F396" s="63"/>
      <c r="G396" s="63"/>
      <c r="H396" s="63"/>
      <c r="I396" s="63"/>
      <c r="J396" s="63">
        <v>2</v>
      </c>
      <c r="K396" s="63">
        <v>1</v>
      </c>
      <c r="L396" s="63"/>
      <c r="M396" s="63"/>
      <c r="N396" s="63"/>
      <c r="O396" s="64" t="s">
        <v>217</v>
      </c>
      <c r="P396" s="56"/>
      <c r="Q396" s="57"/>
      <c r="R396" s="58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</row>
    <row r="397" spans="1:28" ht="14.4" x14ac:dyDescent="0.3">
      <c r="A397" s="50"/>
      <c r="B397" s="61">
        <v>43610</v>
      </c>
      <c r="C397" s="62" t="s">
        <v>41</v>
      </c>
      <c r="D397" s="62" t="s">
        <v>42</v>
      </c>
      <c r="E397" s="53">
        <f>SUM(F397:N397)</f>
        <v>6</v>
      </c>
      <c r="F397" s="63"/>
      <c r="G397" s="63">
        <v>2</v>
      </c>
      <c r="H397" s="63"/>
      <c r="I397" s="63"/>
      <c r="J397" s="63">
        <v>3</v>
      </c>
      <c r="K397" s="63">
        <v>1</v>
      </c>
      <c r="L397" s="63"/>
      <c r="M397" s="63"/>
      <c r="N397" s="63"/>
      <c r="O397" s="64" t="s">
        <v>573</v>
      </c>
      <c r="P397" s="56"/>
      <c r="Q397" s="57"/>
      <c r="R397" s="58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</row>
    <row r="398" spans="1:28" ht="14.4" x14ac:dyDescent="0.3">
      <c r="A398" s="50"/>
      <c r="B398" s="61">
        <v>43610</v>
      </c>
      <c r="C398" s="62" t="s">
        <v>26</v>
      </c>
      <c r="D398" s="62" t="s">
        <v>27</v>
      </c>
      <c r="E398" s="53">
        <f>SUM(F398:N398)</f>
        <v>7</v>
      </c>
      <c r="F398" s="63"/>
      <c r="G398" s="63">
        <v>1</v>
      </c>
      <c r="H398" s="63">
        <v>1</v>
      </c>
      <c r="I398" s="63">
        <v>2</v>
      </c>
      <c r="J398" s="63">
        <v>1</v>
      </c>
      <c r="K398" s="63"/>
      <c r="L398" s="63">
        <v>2</v>
      </c>
      <c r="M398" s="63"/>
      <c r="N398" s="63"/>
      <c r="O398" s="64" t="s">
        <v>548</v>
      </c>
      <c r="P398" s="56"/>
      <c r="Q398" s="57"/>
      <c r="R398" s="58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</row>
    <row r="399" spans="1:28" ht="14.4" x14ac:dyDescent="0.3">
      <c r="A399" s="50"/>
      <c r="B399" s="61">
        <v>43610</v>
      </c>
      <c r="C399" s="62" t="s">
        <v>20</v>
      </c>
      <c r="D399" s="62" t="s">
        <v>21</v>
      </c>
      <c r="E399" s="53">
        <f>SUM(F399:N399)</f>
        <v>4</v>
      </c>
      <c r="F399" s="63"/>
      <c r="G399" s="63">
        <v>3</v>
      </c>
      <c r="H399" s="63"/>
      <c r="I399" s="63"/>
      <c r="J399" s="63">
        <v>1</v>
      </c>
      <c r="K399" s="63"/>
      <c r="L399" s="63"/>
      <c r="M399" s="63"/>
      <c r="N399" s="63"/>
      <c r="O399" s="64" t="s">
        <v>418</v>
      </c>
      <c r="P399" s="56"/>
      <c r="Q399" s="57"/>
      <c r="R399" s="58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</row>
    <row r="400" spans="1:28" ht="14.4" x14ac:dyDescent="0.3">
      <c r="A400" s="50"/>
      <c r="B400" s="61">
        <v>43610</v>
      </c>
      <c r="C400" s="62" t="s">
        <v>38</v>
      </c>
      <c r="D400" s="62" t="s">
        <v>39</v>
      </c>
      <c r="E400" s="53">
        <f>SUM(F400:N400)</f>
        <v>2</v>
      </c>
      <c r="F400" s="63"/>
      <c r="G400" s="63"/>
      <c r="H400" s="63">
        <v>1</v>
      </c>
      <c r="I400" s="63"/>
      <c r="J400" s="63">
        <v>1</v>
      </c>
      <c r="K400" s="63"/>
      <c r="L400" s="63"/>
      <c r="M400" s="63"/>
      <c r="N400" s="63"/>
      <c r="O400" s="64" t="s">
        <v>191</v>
      </c>
      <c r="P400" s="56"/>
      <c r="Q400" s="57"/>
      <c r="R400" s="58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</row>
    <row r="401" spans="1:28" ht="14.4" x14ac:dyDescent="0.3">
      <c r="A401" s="50"/>
      <c r="B401" s="61">
        <v>43611</v>
      </c>
      <c r="C401" s="62" t="s">
        <v>29</v>
      </c>
      <c r="D401" s="62" t="s">
        <v>30</v>
      </c>
      <c r="E401" s="53">
        <f>SUM(F401:N401)</f>
        <v>2</v>
      </c>
      <c r="F401" s="63"/>
      <c r="G401" s="63"/>
      <c r="H401" s="63"/>
      <c r="I401" s="63"/>
      <c r="J401" s="63">
        <v>2</v>
      </c>
      <c r="K401" s="63"/>
      <c r="L401" s="63"/>
      <c r="M401" s="63"/>
      <c r="N401" s="63"/>
      <c r="O401" s="64" t="s">
        <v>720</v>
      </c>
      <c r="P401" s="56"/>
      <c r="Q401" s="72" t="s">
        <v>947</v>
      </c>
      <c r="R401" s="58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</row>
    <row r="402" spans="1:28" ht="14.4" x14ac:dyDescent="0.3">
      <c r="A402" s="50"/>
      <c r="B402" s="61">
        <v>43611</v>
      </c>
      <c r="C402" s="62" t="s">
        <v>26</v>
      </c>
      <c r="D402" s="62" t="s">
        <v>27</v>
      </c>
      <c r="E402" s="53">
        <f>SUM(F402:N402)</f>
        <v>13</v>
      </c>
      <c r="F402" s="63"/>
      <c r="G402" s="63"/>
      <c r="H402" s="63">
        <v>1</v>
      </c>
      <c r="I402" s="63">
        <v>6</v>
      </c>
      <c r="J402" s="63">
        <v>5</v>
      </c>
      <c r="K402" s="63">
        <v>1</v>
      </c>
      <c r="L402" s="63"/>
      <c r="M402" s="63"/>
      <c r="N402" s="63"/>
      <c r="O402" s="64" t="s">
        <v>549</v>
      </c>
      <c r="P402" s="56"/>
      <c r="Q402" s="57"/>
      <c r="R402" s="58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</row>
    <row r="403" spans="1:28" ht="14.4" x14ac:dyDescent="0.3">
      <c r="A403" s="50"/>
      <c r="B403" s="61">
        <v>43611</v>
      </c>
      <c r="C403" s="62" t="s">
        <v>103</v>
      </c>
      <c r="D403" s="62" t="s">
        <v>104</v>
      </c>
      <c r="E403" s="53">
        <f>SUM(F403:N403)</f>
        <v>1</v>
      </c>
      <c r="F403" s="63"/>
      <c r="G403" s="63">
        <v>1</v>
      </c>
      <c r="H403" s="63"/>
      <c r="I403" s="63"/>
      <c r="J403" s="63"/>
      <c r="K403" s="63"/>
      <c r="L403" s="63"/>
      <c r="M403" s="63"/>
      <c r="N403" s="63"/>
      <c r="O403" s="64" t="s">
        <v>398</v>
      </c>
      <c r="P403" s="56"/>
      <c r="Q403" s="57"/>
      <c r="R403" s="58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</row>
    <row r="404" spans="1:28" ht="14.4" x14ac:dyDescent="0.3">
      <c r="A404" s="50"/>
      <c r="B404" s="61">
        <v>43611</v>
      </c>
      <c r="C404" s="62" t="s">
        <v>47</v>
      </c>
      <c r="D404" s="62" t="s">
        <v>48</v>
      </c>
      <c r="E404" s="53">
        <f>SUM(F404:N404)</f>
        <v>3</v>
      </c>
      <c r="F404" s="63"/>
      <c r="G404" s="63">
        <v>1</v>
      </c>
      <c r="H404" s="63">
        <v>1</v>
      </c>
      <c r="I404" s="63"/>
      <c r="J404" s="63">
        <v>1</v>
      </c>
      <c r="K404" s="63"/>
      <c r="L404" s="63"/>
      <c r="M404" s="63"/>
      <c r="N404" s="63"/>
      <c r="O404" s="64" t="s">
        <v>345</v>
      </c>
      <c r="P404" s="56"/>
      <c r="Q404" s="57"/>
      <c r="R404" s="58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</row>
    <row r="405" spans="1:28" ht="14.4" x14ac:dyDescent="0.3">
      <c r="A405" s="50"/>
      <c r="B405" s="61">
        <v>43612</v>
      </c>
      <c r="C405" s="62" t="s">
        <v>71</v>
      </c>
      <c r="D405" s="62" t="s">
        <v>72</v>
      </c>
      <c r="E405" s="53">
        <f>SUM(F405:N405)</f>
        <v>1</v>
      </c>
      <c r="F405" s="63"/>
      <c r="G405" s="63"/>
      <c r="H405" s="63"/>
      <c r="I405" s="63"/>
      <c r="J405" s="63">
        <v>1</v>
      </c>
      <c r="K405" s="63"/>
      <c r="L405" s="63"/>
      <c r="M405" s="63"/>
      <c r="N405" s="63"/>
      <c r="O405" s="64" t="s">
        <v>616</v>
      </c>
      <c r="P405" s="56"/>
      <c r="Q405" s="57"/>
      <c r="R405" s="58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</row>
    <row r="406" spans="1:28" ht="14.4" x14ac:dyDescent="0.3">
      <c r="A406" s="50"/>
      <c r="B406" s="61">
        <v>43616</v>
      </c>
      <c r="C406" s="62" t="s">
        <v>32</v>
      </c>
      <c r="D406" s="62" t="s">
        <v>33</v>
      </c>
      <c r="E406" s="53">
        <f>SUM(F406:N406)</f>
        <v>2</v>
      </c>
      <c r="F406" s="63"/>
      <c r="G406" s="63">
        <v>1</v>
      </c>
      <c r="H406" s="63"/>
      <c r="I406" s="63"/>
      <c r="J406" s="63"/>
      <c r="K406" s="63">
        <v>1</v>
      </c>
      <c r="L406" s="63"/>
      <c r="M406" s="63"/>
      <c r="N406" s="63"/>
      <c r="O406" s="64" t="s">
        <v>653</v>
      </c>
      <c r="P406" s="56"/>
      <c r="Q406" s="57"/>
      <c r="R406" s="58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</row>
    <row r="407" spans="1:28" ht="14.4" x14ac:dyDescent="0.3">
      <c r="A407" s="50"/>
      <c r="B407" s="61">
        <v>43617</v>
      </c>
      <c r="C407" s="62" t="s">
        <v>14</v>
      </c>
      <c r="D407" s="62" t="s">
        <v>15</v>
      </c>
      <c r="E407" s="53">
        <f>SUM(F407:N407)</f>
        <v>20</v>
      </c>
      <c r="F407" s="63">
        <v>1</v>
      </c>
      <c r="G407" s="63"/>
      <c r="H407" s="63"/>
      <c r="I407" s="63">
        <v>7</v>
      </c>
      <c r="J407" s="63">
        <v>5</v>
      </c>
      <c r="K407" s="63">
        <v>2</v>
      </c>
      <c r="L407" s="63">
        <v>5</v>
      </c>
      <c r="M407" s="63"/>
      <c r="N407" s="63"/>
      <c r="O407" s="64" t="s">
        <v>826</v>
      </c>
      <c r="P407" s="56"/>
      <c r="Q407" s="57"/>
      <c r="R407" s="58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</row>
    <row r="408" spans="1:28" ht="14.4" x14ac:dyDescent="0.3">
      <c r="A408" s="50"/>
      <c r="B408" s="61">
        <v>43617</v>
      </c>
      <c r="C408" s="62" t="s">
        <v>38</v>
      </c>
      <c r="D408" s="62" t="s">
        <v>39</v>
      </c>
      <c r="E408" s="53">
        <f>SUM(F408:N408)</f>
        <v>5</v>
      </c>
      <c r="F408" s="63"/>
      <c r="G408" s="63"/>
      <c r="H408" s="63"/>
      <c r="I408" s="63">
        <v>1</v>
      </c>
      <c r="J408" s="63">
        <v>3</v>
      </c>
      <c r="K408" s="63">
        <v>1</v>
      </c>
      <c r="L408" s="63"/>
      <c r="M408" s="63"/>
      <c r="N408" s="63"/>
      <c r="O408" s="64" t="s">
        <v>507</v>
      </c>
      <c r="P408" s="56"/>
      <c r="Q408" s="57"/>
      <c r="R408" s="58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</row>
    <row r="409" spans="1:28" ht="14.4" x14ac:dyDescent="0.3">
      <c r="A409" s="50"/>
      <c r="B409" s="61">
        <v>43617</v>
      </c>
      <c r="C409" s="62" t="s">
        <v>26</v>
      </c>
      <c r="D409" s="62" t="s">
        <v>27</v>
      </c>
      <c r="E409" s="53">
        <f>SUM(F409:N409)</f>
        <v>2</v>
      </c>
      <c r="F409" s="63"/>
      <c r="G409" s="63"/>
      <c r="H409" s="63"/>
      <c r="I409" s="63"/>
      <c r="J409" s="63">
        <v>2</v>
      </c>
      <c r="K409" s="63"/>
      <c r="L409" s="63"/>
      <c r="M409" s="63"/>
      <c r="N409" s="63"/>
      <c r="O409" s="64" t="s">
        <v>472</v>
      </c>
      <c r="P409" s="56"/>
      <c r="Q409" s="57"/>
      <c r="R409" s="58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</row>
    <row r="410" spans="1:28" ht="14.4" x14ac:dyDescent="0.3">
      <c r="A410" s="50"/>
      <c r="B410" s="61">
        <v>43617</v>
      </c>
      <c r="C410" s="62" t="s">
        <v>35</v>
      </c>
      <c r="D410" s="62" t="s">
        <v>36</v>
      </c>
      <c r="E410" s="53">
        <f>SUM(F410:N410)</f>
        <v>2</v>
      </c>
      <c r="F410" s="63"/>
      <c r="G410" s="63"/>
      <c r="H410" s="63"/>
      <c r="I410" s="63"/>
      <c r="J410" s="63">
        <v>2</v>
      </c>
      <c r="K410" s="63"/>
      <c r="L410" s="63"/>
      <c r="M410" s="63"/>
      <c r="N410" s="63"/>
      <c r="O410" s="64" t="s">
        <v>472</v>
      </c>
      <c r="P410" s="56"/>
      <c r="Q410" s="57"/>
      <c r="R410" s="58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</row>
    <row r="411" spans="1:28" ht="14.4" x14ac:dyDescent="0.3">
      <c r="A411" s="50"/>
      <c r="B411" s="61">
        <v>43617</v>
      </c>
      <c r="C411" s="62" t="s">
        <v>59</v>
      </c>
      <c r="D411" s="62" t="s">
        <v>60</v>
      </c>
      <c r="E411" s="53">
        <f>SUM(F411:N411)</f>
        <v>1</v>
      </c>
      <c r="F411" s="63"/>
      <c r="G411" s="63"/>
      <c r="H411" s="63"/>
      <c r="I411" s="63"/>
      <c r="J411" s="63">
        <v>1</v>
      </c>
      <c r="K411" s="63"/>
      <c r="L411" s="63"/>
      <c r="M411" s="63"/>
      <c r="N411" s="63"/>
      <c r="O411" s="64" t="s">
        <v>240</v>
      </c>
      <c r="P411" s="56"/>
      <c r="Q411" s="57"/>
      <c r="R411" s="58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</row>
    <row r="412" spans="1:28" ht="14.4" x14ac:dyDescent="0.3">
      <c r="A412" s="50"/>
      <c r="B412" s="61">
        <v>43617</v>
      </c>
      <c r="C412" s="62" t="s">
        <v>77</v>
      </c>
      <c r="D412" s="62" t="s">
        <v>78</v>
      </c>
      <c r="E412" s="53">
        <f>SUM(F412:N412)</f>
        <v>1</v>
      </c>
      <c r="F412" s="63"/>
      <c r="G412" s="63"/>
      <c r="H412" s="63"/>
      <c r="I412" s="63"/>
      <c r="J412" s="63">
        <v>1</v>
      </c>
      <c r="K412" s="63"/>
      <c r="L412" s="63"/>
      <c r="M412" s="63"/>
      <c r="N412" s="63"/>
      <c r="O412" s="64" t="s">
        <v>240</v>
      </c>
      <c r="P412" s="56"/>
      <c r="Q412" s="57"/>
      <c r="R412" s="58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</row>
    <row r="413" spans="1:28" ht="14.4" x14ac:dyDescent="0.3">
      <c r="A413" s="50"/>
      <c r="B413" s="61">
        <v>43618</v>
      </c>
      <c r="C413" s="62" t="s">
        <v>29</v>
      </c>
      <c r="D413" s="62" t="s">
        <v>30</v>
      </c>
      <c r="E413" s="53">
        <f>SUM(F413:N413)</f>
        <v>6</v>
      </c>
      <c r="F413" s="63">
        <v>1</v>
      </c>
      <c r="G413" s="63"/>
      <c r="H413" s="63">
        <v>2</v>
      </c>
      <c r="I413" s="63">
        <v>3</v>
      </c>
      <c r="J413" s="63"/>
      <c r="K413" s="63"/>
      <c r="L413" s="63"/>
      <c r="M413" s="63"/>
      <c r="N413" s="63"/>
      <c r="O413" s="64" t="s">
        <v>721</v>
      </c>
      <c r="P413" s="56"/>
      <c r="Q413" s="57"/>
      <c r="R413" s="58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</row>
    <row r="414" spans="1:28" ht="14.4" x14ac:dyDescent="0.3">
      <c r="A414" s="50"/>
      <c r="B414" s="61">
        <v>43618</v>
      </c>
      <c r="C414" s="62" t="s">
        <v>17</v>
      </c>
      <c r="D414" s="62" t="s">
        <v>18</v>
      </c>
      <c r="E414" s="53">
        <f>SUM(F414:N414)</f>
        <v>12</v>
      </c>
      <c r="F414" s="63">
        <v>1</v>
      </c>
      <c r="G414" s="63"/>
      <c r="H414" s="63"/>
      <c r="I414" s="63">
        <v>5</v>
      </c>
      <c r="J414" s="63">
        <v>3</v>
      </c>
      <c r="K414" s="63">
        <v>2</v>
      </c>
      <c r="L414" s="63">
        <v>1</v>
      </c>
      <c r="M414" s="63"/>
      <c r="N414" s="63"/>
      <c r="O414" s="64" t="s">
        <v>284</v>
      </c>
      <c r="P414" s="56"/>
      <c r="Q414" s="57"/>
      <c r="R414" s="58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</row>
    <row r="415" spans="1:28" ht="14.4" x14ac:dyDescent="0.3">
      <c r="A415" s="50"/>
      <c r="B415" s="61">
        <v>43618</v>
      </c>
      <c r="C415" s="62" t="s">
        <v>20</v>
      </c>
      <c r="D415" s="62" t="s">
        <v>21</v>
      </c>
      <c r="E415" s="53">
        <f>SUM(F415:N415)</f>
        <v>3</v>
      </c>
      <c r="F415" s="63"/>
      <c r="G415" s="63"/>
      <c r="H415" s="63"/>
      <c r="I415" s="63"/>
      <c r="J415" s="63">
        <v>2</v>
      </c>
      <c r="K415" s="63">
        <v>1</v>
      </c>
      <c r="L415" s="63"/>
      <c r="M415" s="63"/>
      <c r="N415" s="63"/>
      <c r="O415" s="64" t="s">
        <v>419</v>
      </c>
      <c r="P415" s="56"/>
      <c r="Q415" s="73" t="str">
        <f>HYPERLINK("https://mapy.cz/zakladni?planovani-trasy&amp;x=14.0584458&amp;y=49.9677850&amp;z=14&amp;dim=5cf383de40a0136dab726b8b","https://mapy.cz/zakladni?planovani-trasy&amp;x=14.0584458&amp;y=49.9677850&amp;z=14&amp;dim=5cf383de40a0136dab726b8b")</f>
        <v>https://mapy.cz/zakladni?planovani-trasy&amp;x=14.0584458&amp;y=49.9677850&amp;z=14&amp;dim=5cf383de40a0136dab726b8b</v>
      </c>
      <c r="R415" s="58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</row>
    <row r="416" spans="1:28" ht="14.4" x14ac:dyDescent="0.3">
      <c r="A416" s="50"/>
      <c r="B416" s="61">
        <v>43618</v>
      </c>
      <c r="C416" s="62" t="s">
        <v>23</v>
      </c>
      <c r="D416" s="62" t="s">
        <v>24</v>
      </c>
      <c r="E416" s="53">
        <f>SUM(F416:N416)</f>
        <v>10</v>
      </c>
      <c r="F416" s="63">
        <v>1</v>
      </c>
      <c r="G416" s="63">
        <v>2</v>
      </c>
      <c r="H416" s="63"/>
      <c r="I416" s="63">
        <v>6</v>
      </c>
      <c r="J416" s="63"/>
      <c r="K416" s="63"/>
      <c r="L416" s="63">
        <v>1</v>
      </c>
      <c r="M416" s="63"/>
      <c r="N416" s="63"/>
      <c r="O416" s="64" t="s">
        <v>872</v>
      </c>
      <c r="P416" s="56"/>
      <c r="Q416" s="57"/>
      <c r="R416" s="58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</row>
    <row r="417" spans="1:28" ht="14.4" x14ac:dyDescent="0.3">
      <c r="A417" s="50"/>
      <c r="B417" s="61">
        <v>43618</v>
      </c>
      <c r="C417" s="62" t="s">
        <v>47</v>
      </c>
      <c r="D417" s="62" t="s">
        <v>48</v>
      </c>
      <c r="E417" s="53">
        <f>SUM(F417:N417)</f>
        <v>5</v>
      </c>
      <c r="F417" s="63"/>
      <c r="G417" s="63">
        <v>3</v>
      </c>
      <c r="H417" s="63"/>
      <c r="I417" s="63"/>
      <c r="J417" s="63">
        <v>1</v>
      </c>
      <c r="K417" s="63">
        <v>1</v>
      </c>
      <c r="L417" s="63"/>
      <c r="M417" s="63"/>
      <c r="N417" s="63"/>
      <c r="O417" s="64" t="s">
        <v>346</v>
      </c>
      <c r="P417" s="56"/>
      <c r="Q417" s="57"/>
      <c r="R417" s="58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</row>
    <row r="418" spans="1:28" ht="14.4" x14ac:dyDescent="0.3">
      <c r="A418" s="50"/>
      <c r="B418" s="61">
        <v>43618</v>
      </c>
      <c r="C418" s="62" t="s">
        <v>74</v>
      </c>
      <c r="D418" s="62" t="s">
        <v>75</v>
      </c>
      <c r="E418" s="53">
        <f>SUM(F418:N418)</f>
        <v>2</v>
      </c>
      <c r="F418" s="63"/>
      <c r="G418" s="63"/>
      <c r="H418" s="63">
        <v>1</v>
      </c>
      <c r="I418" s="63"/>
      <c r="J418" s="63">
        <v>1</v>
      </c>
      <c r="K418" s="63"/>
      <c r="L418" s="63"/>
      <c r="M418" s="63"/>
      <c r="N418" s="63"/>
      <c r="O418" s="64" t="s">
        <v>599</v>
      </c>
      <c r="P418" s="56"/>
      <c r="Q418" s="57"/>
      <c r="R418" s="58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</row>
    <row r="419" spans="1:28" ht="14.4" x14ac:dyDescent="0.3">
      <c r="A419" s="50"/>
      <c r="B419" s="61">
        <v>43619</v>
      </c>
      <c r="C419" s="62" t="s">
        <v>14</v>
      </c>
      <c r="D419" s="62" t="s">
        <v>15</v>
      </c>
      <c r="E419" s="53">
        <f>SUM(F419:N419)</f>
        <v>7</v>
      </c>
      <c r="F419" s="63"/>
      <c r="G419" s="63">
        <v>1</v>
      </c>
      <c r="H419" s="63"/>
      <c r="I419" s="63">
        <v>4</v>
      </c>
      <c r="J419" s="63">
        <v>2</v>
      </c>
      <c r="K419" s="63"/>
      <c r="L419" s="63"/>
      <c r="M419" s="63"/>
      <c r="N419" s="63"/>
      <c r="O419" s="64" t="s">
        <v>827</v>
      </c>
      <c r="P419" s="56"/>
      <c r="Q419" s="57"/>
      <c r="R419" s="58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</row>
    <row r="420" spans="1:28" ht="14.4" x14ac:dyDescent="0.3">
      <c r="A420" s="50"/>
      <c r="B420" s="61">
        <v>43619</v>
      </c>
      <c r="C420" s="62" t="s">
        <v>56</v>
      </c>
      <c r="D420" s="62" t="s">
        <v>57</v>
      </c>
      <c r="E420" s="53">
        <f>SUM(F420:N420)</f>
        <v>4</v>
      </c>
      <c r="F420" s="63"/>
      <c r="G420" s="63"/>
      <c r="H420" s="63"/>
      <c r="I420" s="63"/>
      <c r="J420" s="63">
        <v>3</v>
      </c>
      <c r="K420" s="63"/>
      <c r="L420" s="63">
        <v>1</v>
      </c>
      <c r="M420" s="63"/>
      <c r="N420" s="63"/>
      <c r="O420" s="64" t="s">
        <v>218</v>
      </c>
      <c r="P420" s="56"/>
      <c r="Q420" s="57"/>
      <c r="R420" s="58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</row>
    <row r="421" spans="1:28" ht="14.4" x14ac:dyDescent="0.3">
      <c r="A421" s="50"/>
      <c r="B421" s="61">
        <v>43620</v>
      </c>
      <c r="C421" s="62" t="s">
        <v>20</v>
      </c>
      <c r="D421" s="62" t="s">
        <v>21</v>
      </c>
      <c r="E421" s="53">
        <f>SUM(F421:N421)</f>
        <v>1</v>
      </c>
      <c r="F421" s="63"/>
      <c r="G421" s="63"/>
      <c r="H421" s="63"/>
      <c r="I421" s="63"/>
      <c r="J421" s="63">
        <v>1</v>
      </c>
      <c r="K421" s="63"/>
      <c r="L421" s="63"/>
      <c r="M421" s="63"/>
      <c r="N421" s="63"/>
      <c r="O421" s="64" t="s">
        <v>420</v>
      </c>
      <c r="P421" s="56"/>
      <c r="Q421" s="57"/>
      <c r="R421" s="58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</row>
    <row r="422" spans="1:28" ht="14.4" x14ac:dyDescent="0.3">
      <c r="A422" s="50"/>
      <c r="B422" s="61">
        <v>43620</v>
      </c>
      <c r="C422" s="62" t="s">
        <v>26</v>
      </c>
      <c r="D422" s="62" t="s">
        <v>27</v>
      </c>
      <c r="E422" s="53">
        <f>SUM(F422:N422)</f>
        <v>7</v>
      </c>
      <c r="F422" s="63"/>
      <c r="G422" s="63"/>
      <c r="H422" s="63"/>
      <c r="I422" s="63">
        <v>7</v>
      </c>
      <c r="J422" s="63"/>
      <c r="K422" s="63"/>
      <c r="L422" s="63"/>
      <c r="M422" s="63"/>
      <c r="N422" s="63"/>
      <c r="O422" s="64" t="s">
        <v>241</v>
      </c>
      <c r="P422" s="56"/>
      <c r="Q422" s="57"/>
      <c r="R422" s="58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</row>
    <row r="423" spans="1:28" ht="14.4" x14ac:dyDescent="0.3">
      <c r="A423" s="50"/>
      <c r="B423" s="61">
        <v>43620</v>
      </c>
      <c r="C423" s="62" t="s">
        <v>35</v>
      </c>
      <c r="D423" s="62" t="s">
        <v>36</v>
      </c>
      <c r="E423" s="53">
        <f>SUM(F423:N423)</f>
        <v>7</v>
      </c>
      <c r="F423" s="63"/>
      <c r="G423" s="63"/>
      <c r="H423" s="63"/>
      <c r="I423" s="63">
        <v>7</v>
      </c>
      <c r="J423" s="63"/>
      <c r="K423" s="63"/>
      <c r="L423" s="63"/>
      <c r="M423" s="63"/>
      <c r="N423" s="63"/>
      <c r="O423" s="64" t="s">
        <v>241</v>
      </c>
      <c r="P423" s="56"/>
      <c r="Q423" s="57"/>
      <c r="R423" s="58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</row>
    <row r="424" spans="1:28" ht="14.4" x14ac:dyDescent="0.3">
      <c r="A424" s="50"/>
      <c r="B424" s="61">
        <v>43620</v>
      </c>
      <c r="C424" s="62" t="s">
        <v>59</v>
      </c>
      <c r="D424" s="62" t="s">
        <v>60</v>
      </c>
      <c r="E424" s="53">
        <f>SUM(F424:N424)</f>
        <v>7</v>
      </c>
      <c r="F424" s="63"/>
      <c r="G424" s="63"/>
      <c r="H424" s="63"/>
      <c r="I424" s="63">
        <v>7</v>
      </c>
      <c r="J424" s="63"/>
      <c r="K424" s="63"/>
      <c r="L424" s="63"/>
      <c r="M424" s="63"/>
      <c r="N424" s="63"/>
      <c r="O424" s="64" t="s">
        <v>241</v>
      </c>
      <c r="P424" s="56"/>
      <c r="Q424" s="57"/>
      <c r="R424" s="58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</row>
    <row r="425" spans="1:28" ht="14.4" x14ac:dyDescent="0.3">
      <c r="A425" s="50"/>
      <c r="B425" s="61">
        <v>43620</v>
      </c>
      <c r="C425" s="62" t="s">
        <v>77</v>
      </c>
      <c r="D425" s="62" t="s">
        <v>78</v>
      </c>
      <c r="E425" s="53">
        <f>SUM(F425:N425)</f>
        <v>4</v>
      </c>
      <c r="F425" s="63"/>
      <c r="G425" s="63"/>
      <c r="H425" s="63"/>
      <c r="I425" s="63">
        <v>4</v>
      </c>
      <c r="J425" s="63"/>
      <c r="K425" s="63"/>
      <c r="L425" s="63"/>
      <c r="M425" s="63"/>
      <c r="N425" s="63"/>
      <c r="O425" s="64" t="s">
        <v>691</v>
      </c>
      <c r="P425" s="56"/>
      <c r="Q425" s="57"/>
      <c r="R425" s="58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</row>
    <row r="426" spans="1:28" ht="14.4" x14ac:dyDescent="0.3">
      <c r="A426" s="50"/>
      <c r="B426" s="61">
        <v>43621</v>
      </c>
      <c r="C426" s="62" t="s">
        <v>26</v>
      </c>
      <c r="D426" s="62" t="s">
        <v>27</v>
      </c>
      <c r="E426" s="53">
        <f>SUM(F426:N426)</f>
        <v>5</v>
      </c>
      <c r="F426" s="63"/>
      <c r="G426" s="63"/>
      <c r="H426" s="63">
        <v>1</v>
      </c>
      <c r="I426" s="63">
        <v>2</v>
      </c>
      <c r="J426" s="63">
        <v>1</v>
      </c>
      <c r="K426" s="63"/>
      <c r="L426" s="63">
        <v>1</v>
      </c>
      <c r="M426" s="63"/>
      <c r="N426" s="63"/>
      <c r="O426" s="64" t="s">
        <v>550</v>
      </c>
      <c r="P426" s="56"/>
      <c r="Q426" s="57"/>
      <c r="R426" s="58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</row>
    <row r="427" spans="1:28" ht="14.4" x14ac:dyDescent="0.3">
      <c r="A427" s="50"/>
      <c r="B427" s="61">
        <v>43621</v>
      </c>
      <c r="C427" s="62" t="s">
        <v>35</v>
      </c>
      <c r="D427" s="62" t="s">
        <v>36</v>
      </c>
      <c r="E427" s="53">
        <f>SUM(F427:N427)</f>
        <v>4</v>
      </c>
      <c r="F427" s="63"/>
      <c r="G427" s="63"/>
      <c r="H427" s="63">
        <v>1</v>
      </c>
      <c r="I427" s="63">
        <v>2</v>
      </c>
      <c r="J427" s="63"/>
      <c r="K427" s="63"/>
      <c r="L427" s="63">
        <v>1</v>
      </c>
      <c r="M427" s="63"/>
      <c r="N427" s="63"/>
      <c r="O427" s="64" t="s">
        <v>242</v>
      </c>
      <c r="P427" s="56"/>
      <c r="Q427" s="57"/>
      <c r="R427" s="58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</row>
    <row r="428" spans="1:28" ht="14.4" x14ac:dyDescent="0.3">
      <c r="A428" s="50"/>
      <c r="B428" s="61">
        <v>43621</v>
      </c>
      <c r="C428" s="62" t="s">
        <v>59</v>
      </c>
      <c r="D428" s="62" t="s">
        <v>60</v>
      </c>
      <c r="E428" s="53">
        <f>SUM(F428:N428)</f>
        <v>4</v>
      </c>
      <c r="F428" s="63"/>
      <c r="G428" s="63"/>
      <c r="H428" s="63">
        <v>1</v>
      </c>
      <c r="I428" s="63">
        <v>2</v>
      </c>
      <c r="J428" s="63"/>
      <c r="K428" s="63"/>
      <c r="L428" s="63">
        <v>1</v>
      </c>
      <c r="M428" s="63"/>
      <c r="N428" s="63"/>
      <c r="O428" s="64" t="s">
        <v>242</v>
      </c>
      <c r="P428" s="56"/>
      <c r="Q428" s="57"/>
      <c r="R428" s="58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</row>
    <row r="429" spans="1:28" ht="14.4" x14ac:dyDescent="0.3">
      <c r="A429" s="50"/>
      <c r="B429" s="61">
        <v>43621</v>
      </c>
      <c r="C429" s="62" t="s">
        <v>77</v>
      </c>
      <c r="D429" s="62" t="s">
        <v>78</v>
      </c>
      <c r="E429" s="53">
        <f>SUM(F429:N429)</f>
        <v>4</v>
      </c>
      <c r="F429" s="63"/>
      <c r="G429" s="63"/>
      <c r="H429" s="63">
        <v>1</v>
      </c>
      <c r="I429" s="63">
        <v>2</v>
      </c>
      <c r="J429" s="63"/>
      <c r="K429" s="63"/>
      <c r="L429" s="63">
        <v>1</v>
      </c>
      <c r="M429" s="63"/>
      <c r="N429" s="63"/>
      <c r="O429" s="64" t="s">
        <v>242</v>
      </c>
      <c r="P429" s="56"/>
      <c r="Q429" s="57"/>
      <c r="R429" s="58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</row>
    <row r="430" spans="1:28" ht="14.4" x14ac:dyDescent="0.3">
      <c r="A430" s="50"/>
      <c r="B430" s="61">
        <v>43622</v>
      </c>
      <c r="C430" s="62" t="s">
        <v>44</v>
      </c>
      <c r="D430" s="62" t="s">
        <v>45</v>
      </c>
      <c r="E430" s="53">
        <f>SUM(F430:N430)</f>
        <v>12</v>
      </c>
      <c r="F430" s="63"/>
      <c r="G430" s="63"/>
      <c r="H430" s="63"/>
      <c r="I430" s="63"/>
      <c r="J430" s="63">
        <v>12</v>
      </c>
      <c r="K430" s="63"/>
      <c r="L430" s="63"/>
      <c r="M430" s="63"/>
      <c r="N430" s="63"/>
      <c r="O430" s="64" t="s">
        <v>386</v>
      </c>
      <c r="P430" s="56"/>
      <c r="Q430" s="57"/>
      <c r="R430" s="58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</row>
    <row r="431" spans="1:28" ht="14.4" x14ac:dyDescent="0.3">
      <c r="A431" s="50"/>
      <c r="B431" s="61">
        <v>43623</v>
      </c>
      <c r="C431" s="62" t="s">
        <v>17</v>
      </c>
      <c r="D431" s="62" t="s">
        <v>18</v>
      </c>
      <c r="E431" s="53">
        <f>SUM(F431:N431)</f>
        <v>3</v>
      </c>
      <c r="F431" s="63"/>
      <c r="G431" s="63">
        <v>1</v>
      </c>
      <c r="H431" s="63">
        <v>1</v>
      </c>
      <c r="I431" s="63"/>
      <c r="J431" s="63">
        <v>1</v>
      </c>
      <c r="K431" s="63"/>
      <c r="L431" s="63"/>
      <c r="M431" s="63"/>
      <c r="N431" s="63"/>
      <c r="O431" s="64" t="s">
        <v>285</v>
      </c>
      <c r="P431" s="56"/>
      <c r="Q431" s="57"/>
      <c r="R431" s="58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</row>
    <row r="432" spans="1:28" ht="14.4" x14ac:dyDescent="0.3">
      <c r="A432" s="50"/>
      <c r="B432" s="61">
        <v>43624</v>
      </c>
      <c r="C432" s="62" t="s">
        <v>80</v>
      </c>
      <c r="D432" s="62" t="s">
        <v>81</v>
      </c>
      <c r="E432" s="53">
        <f>SUM(F432:N432)</f>
        <v>1</v>
      </c>
      <c r="F432" s="63"/>
      <c r="G432" s="63"/>
      <c r="H432" s="63"/>
      <c r="I432" s="63"/>
      <c r="J432" s="63">
        <v>1</v>
      </c>
      <c r="K432" s="63"/>
      <c r="L432" s="63"/>
      <c r="M432" s="63"/>
      <c r="N432" s="63"/>
      <c r="O432" s="64" t="s">
        <v>193</v>
      </c>
      <c r="P432" s="56"/>
      <c r="Q432" s="57"/>
      <c r="R432" s="58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</row>
    <row r="433" spans="1:28" ht="14.4" x14ac:dyDescent="0.3">
      <c r="A433" s="50"/>
      <c r="B433" s="61">
        <v>43625</v>
      </c>
      <c r="C433" s="62" t="s">
        <v>17</v>
      </c>
      <c r="D433" s="62" t="s">
        <v>18</v>
      </c>
      <c r="E433" s="53">
        <f>SUM(F433:N433)</f>
        <v>3</v>
      </c>
      <c r="F433" s="63"/>
      <c r="G433" s="63"/>
      <c r="H433" s="63"/>
      <c r="I433" s="63"/>
      <c r="J433" s="63">
        <v>1</v>
      </c>
      <c r="K433" s="63">
        <v>1</v>
      </c>
      <c r="L433" s="63"/>
      <c r="M433" s="63"/>
      <c r="N433" s="63">
        <v>1</v>
      </c>
      <c r="O433" s="64" t="s">
        <v>286</v>
      </c>
      <c r="P433" s="56"/>
      <c r="Q433" s="57"/>
      <c r="R433" s="58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</row>
    <row r="434" spans="1:28" ht="14.4" x14ac:dyDescent="0.3">
      <c r="A434" s="50"/>
      <c r="B434" s="61">
        <v>43625</v>
      </c>
      <c r="C434" s="62" t="s">
        <v>29</v>
      </c>
      <c r="D434" s="62" t="s">
        <v>30</v>
      </c>
      <c r="E434" s="53">
        <f>SUM(F434:N434)</f>
        <v>3</v>
      </c>
      <c r="F434" s="63"/>
      <c r="G434" s="63"/>
      <c r="H434" s="63"/>
      <c r="I434" s="63"/>
      <c r="J434" s="63">
        <v>3</v>
      </c>
      <c r="K434" s="63"/>
      <c r="L434" s="63"/>
      <c r="M434" s="63"/>
      <c r="N434" s="63"/>
      <c r="O434" s="64" t="s">
        <v>722</v>
      </c>
      <c r="P434" s="56"/>
      <c r="Q434" s="57"/>
      <c r="R434" s="58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</row>
    <row r="435" spans="1:28" ht="14.4" x14ac:dyDescent="0.3">
      <c r="A435" s="50"/>
      <c r="B435" s="61">
        <v>43625</v>
      </c>
      <c r="C435" s="62" t="s">
        <v>97</v>
      </c>
      <c r="D435" s="62" t="s">
        <v>98</v>
      </c>
      <c r="E435" s="53">
        <f>SUM(F435:N435)</f>
        <v>1</v>
      </c>
      <c r="F435" s="63"/>
      <c r="G435" s="63">
        <v>1</v>
      </c>
      <c r="H435" s="63"/>
      <c r="I435" s="63"/>
      <c r="J435" s="63"/>
      <c r="K435" s="63"/>
      <c r="L435" s="63"/>
      <c r="M435" s="63"/>
      <c r="N435" s="63"/>
      <c r="O435" s="64" t="s">
        <v>789</v>
      </c>
      <c r="P435" s="56"/>
      <c r="Q435" s="57"/>
      <c r="R435" s="58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</row>
    <row r="436" spans="1:28" ht="14.4" x14ac:dyDescent="0.3">
      <c r="A436" s="50"/>
      <c r="B436" s="61">
        <v>43625</v>
      </c>
      <c r="C436" s="62" t="s">
        <v>44</v>
      </c>
      <c r="D436" s="62" t="s">
        <v>45</v>
      </c>
      <c r="E436" s="53">
        <f>SUM(F436:N436)</f>
        <v>2</v>
      </c>
      <c r="F436" s="63"/>
      <c r="G436" s="63"/>
      <c r="H436" s="63"/>
      <c r="I436" s="63">
        <v>1</v>
      </c>
      <c r="J436" s="63">
        <v>1</v>
      </c>
      <c r="K436" s="63"/>
      <c r="L436" s="63"/>
      <c r="M436" s="63"/>
      <c r="N436" s="63"/>
      <c r="O436" s="64" t="s">
        <v>190</v>
      </c>
      <c r="P436" s="56"/>
      <c r="Q436" s="57"/>
      <c r="R436" s="58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</row>
    <row r="437" spans="1:28" ht="14.4" x14ac:dyDescent="0.3">
      <c r="A437" s="50"/>
      <c r="B437" s="61">
        <v>43625</v>
      </c>
      <c r="C437" s="62" t="s">
        <v>20</v>
      </c>
      <c r="D437" s="62" t="s">
        <v>21</v>
      </c>
      <c r="E437" s="53">
        <f>SUM(F437:N437)</f>
        <v>2</v>
      </c>
      <c r="F437" s="63"/>
      <c r="G437" s="63"/>
      <c r="H437" s="63"/>
      <c r="I437" s="63"/>
      <c r="J437" s="63">
        <v>1</v>
      </c>
      <c r="K437" s="63">
        <v>1</v>
      </c>
      <c r="L437" s="63"/>
      <c r="M437" s="63"/>
      <c r="N437" s="63"/>
      <c r="O437" s="64" t="s">
        <v>421</v>
      </c>
      <c r="P437" s="56"/>
      <c r="Q437" s="57"/>
      <c r="R437" s="58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</row>
    <row r="438" spans="1:28" ht="14.4" x14ac:dyDescent="0.3">
      <c r="A438" s="50"/>
      <c r="B438" s="61">
        <v>43625</v>
      </c>
      <c r="C438" s="62" t="s">
        <v>68</v>
      </c>
      <c r="D438" s="62" t="s">
        <v>69</v>
      </c>
      <c r="E438" s="53">
        <f>SUM(F438:N438)</f>
        <v>2</v>
      </c>
      <c r="F438" s="63"/>
      <c r="G438" s="63"/>
      <c r="H438" s="63">
        <v>1</v>
      </c>
      <c r="I438" s="63"/>
      <c r="J438" s="63"/>
      <c r="K438" s="63"/>
      <c r="L438" s="63">
        <v>1</v>
      </c>
      <c r="M438" s="63"/>
      <c r="N438" s="63"/>
      <c r="O438" s="64" t="s">
        <v>704</v>
      </c>
      <c r="P438" s="56"/>
      <c r="Q438" s="57"/>
      <c r="R438" s="58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</row>
    <row r="439" spans="1:28" ht="14.4" x14ac:dyDescent="0.3">
      <c r="A439" s="50"/>
      <c r="B439" s="61">
        <v>43625</v>
      </c>
      <c r="C439" s="62" t="s">
        <v>41</v>
      </c>
      <c r="D439" s="62" t="s">
        <v>42</v>
      </c>
      <c r="E439" s="53">
        <f>SUM(F439:N439)</f>
        <v>5</v>
      </c>
      <c r="F439" s="63"/>
      <c r="G439" s="63">
        <v>1</v>
      </c>
      <c r="H439" s="63"/>
      <c r="I439" s="63"/>
      <c r="J439" s="63">
        <v>3</v>
      </c>
      <c r="K439" s="63">
        <v>1</v>
      </c>
      <c r="L439" s="63"/>
      <c r="M439" s="63"/>
      <c r="N439" s="63"/>
      <c r="O439" s="64" t="s">
        <v>574</v>
      </c>
      <c r="P439" s="56"/>
      <c r="Q439" s="57"/>
      <c r="R439" s="58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</row>
    <row r="440" spans="1:28" ht="14.4" x14ac:dyDescent="0.3">
      <c r="A440" s="50"/>
      <c r="B440" s="61">
        <v>43625</v>
      </c>
      <c r="C440" s="62" t="s">
        <v>47</v>
      </c>
      <c r="D440" s="62" t="s">
        <v>48</v>
      </c>
      <c r="E440" s="53">
        <f>SUM(F440:N440)</f>
        <v>2</v>
      </c>
      <c r="F440" s="63"/>
      <c r="G440" s="63"/>
      <c r="H440" s="63"/>
      <c r="I440" s="63"/>
      <c r="J440" s="63">
        <v>1</v>
      </c>
      <c r="K440" s="63"/>
      <c r="L440" s="63">
        <v>1</v>
      </c>
      <c r="M440" s="63"/>
      <c r="N440" s="63"/>
      <c r="O440" s="64" t="s">
        <v>347</v>
      </c>
      <c r="P440" s="56"/>
      <c r="Q440" s="57"/>
      <c r="R440" s="58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</row>
    <row r="441" spans="1:28" ht="14.4" x14ac:dyDescent="0.3">
      <c r="A441" s="50"/>
      <c r="B441" s="61">
        <v>43625</v>
      </c>
      <c r="C441" s="62" t="s">
        <v>38</v>
      </c>
      <c r="D441" s="62" t="s">
        <v>39</v>
      </c>
      <c r="E441" s="53">
        <f>SUM(F441:N441)</f>
        <v>6</v>
      </c>
      <c r="F441" s="63"/>
      <c r="G441" s="63"/>
      <c r="H441" s="63"/>
      <c r="I441" s="63"/>
      <c r="J441" s="63">
        <v>4</v>
      </c>
      <c r="K441" s="63">
        <v>2</v>
      </c>
      <c r="L441" s="63"/>
      <c r="M441" s="63"/>
      <c r="N441" s="63"/>
      <c r="O441" s="64" t="s">
        <v>508</v>
      </c>
      <c r="P441" s="56"/>
      <c r="Q441" s="57"/>
      <c r="R441" s="58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</row>
    <row r="442" spans="1:28" ht="14.4" x14ac:dyDescent="0.3">
      <c r="A442" s="50"/>
      <c r="B442" s="61">
        <v>43626</v>
      </c>
      <c r="C442" s="62" t="s">
        <v>23</v>
      </c>
      <c r="D442" s="62" t="s">
        <v>24</v>
      </c>
      <c r="E442" s="53">
        <f>SUM(F442:N442)</f>
        <v>3</v>
      </c>
      <c r="F442" s="63"/>
      <c r="G442" s="63"/>
      <c r="H442" s="63">
        <v>2</v>
      </c>
      <c r="I442" s="63"/>
      <c r="J442" s="63">
        <v>1</v>
      </c>
      <c r="K442" s="63"/>
      <c r="L442" s="63"/>
      <c r="M442" s="63"/>
      <c r="N442" s="63"/>
      <c r="O442" s="64" t="s">
        <v>873</v>
      </c>
      <c r="P442" s="56"/>
      <c r="Q442" s="57"/>
      <c r="R442" s="58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</row>
    <row r="443" spans="1:28" ht="14.4" x14ac:dyDescent="0.3">
      <c r="A443" s="50"/>
      <c r="B443" s="61">
        <v>43628</v>
      </c>
      <c r="C443" s="62" t="s">
        <v>17</v>
      </c>
      <c r="D443" s="62" t="s">
        <v>18</v>
      </c>
      <c r="E443" s="53">
        <f>SUM(F443:N443)</f>
        <v>3</v>
      </c>
      <c r="F443" s="63"/>
      <c r="G443" s="63">
        <v>1</v>
      </c>
      <c r="H443" s="63"/>
      <c r="I443" s="63"/>
      <c r="J443" s="63">
        <v>1</v>
      </c>
      <c r="K443" s="63">
        <v>1</v>
      </c>
      <c r="L443" s="63"/>
      <c r="M443" s="63"/>
      <c r="N443" s="63"/>
      <c r="O443" s="64" t="s">
        <v>287</v>
      </c>
      <c r="P443" s="56"/>
      <c r="Q443" s="57"/>
      <c r="R443" s="58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</row>
    <row r="444" spans="1:28" ht="14.4" x14ac:dyDescent="0.3">
      <c r="A444" s="50"/>
      <c r="B444" s="61">
        <v>43630</v>
      </c>
      <c r="C444" s="62" t="s">
        <v>50</v>
      </c>
      <c r="D444" s="62" t="s">
        <v>51</v>
      </c>
      <c r="E444" s="53">
        <f>SUM(F444:N444)</f>
        <v>3</v>
      </c>
      <c r="F444" s="63"/>
      <c r="G444" s="63">
        <v>1</v>
      </c>
      <c r="H444" s="63"/>
      <c r="I444" s="63"/>
      <c r="J444" s="63">
        <v>2</v>
      </c>
      <c r="K444" s="63"/>
      <c r="L444" s="63"/>
      <c r="M444" s="63"/>
      <c r="N444" s="63"/>
      <c r="O444" s="64" t="s">
        <v>762</v>
      </c>
      <c r="P444" s="56"/>
      <c r="Q444" s="57"/>
      <c r="R444" s="58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</row>
    <row r="445" spans="1:28" ht="14.4" x14ac:dyDescent="0.3">
      <c r="A445" s="50"/>
      <c r="B445" s="61">
        <v>43630</v>
      </c>
      <c r="C445" s="62" t="s">
        <v>65</v>
      </c>
      <c r="D445" s="62" t="s">
        <v>66</v>
      </c>
      <c r="E445" s="53">
        <f>SUM(F445:N445)</f>
        <v>3</v>
      </c>
      <c r="F445" s="63"/>
      <c r="G445" s="63">
        <v>1</v>
      </c>
      <c r="H445" s="63"/>
      <c r="I445" s="63"/>
      <c r="J445" s="63">
        <v>2</v>
      </c>
      <c r="K445" s="63"/>
      <c r="L445" s="63"/>
      <c r="M445" s="63"/>
      <c r="N445" s="63"/>
      <c r="O445" s="64" t="s">
        <v>762</v>
      </c>
      <c r="P445" s="56"/>
      <c r="Q445" s="57"/>
      <c r="R445" s="58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</row>
    <row r="446" spans="1:28" ht="14.4" x14ac:dyDescent="0.3">
      <c r="A446" s="50"/>
      <c r="B446" s="61">
        <v>43631</v>
      </c>
      <c r="C446" s="62" t="s">
        <v>29</v>
      </c>
      <c r="D446" s="62" t="s">
        <v>30</v>
      </c>
      <c r="E446" s="53">
        <f>SUM(F446:N446)</f>
        <v>10</v>
      </c>
      <c r="F446" s="63"/>
      <c r="G446" s="63"/>
      <c r="H446" s="63"/>
      <c r="I446" s="63">
        <v>6</v>
      </c>
      <c r="J446" s="63">
        <v>2</v>
      </c>
      <c r="K446" s="63"/>
      <c r="L446" s="63">
        <v>2</v>
      </c>
      <c r="M446" s="63"/>
      <c r="N446" s="63"/>
      <c r="O446" s="64" t="s">
        <v>723</v>
      </c>
      <c r="P446" s="56"/>
      <c r="Q446" s="57"/>
      <c r="R446" s="58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</row>
    <row r="447" spans="1:28" ht="14.4" x14ac:dyDescent="0.3">
      <c r="A447" s="50"/>
      <c r="B447" s="61">
        <v>43631</v>
      </c>
      <c r="C447" s="62" t="s">
        <v>26</v>
      </c>
      <c r="D447" s="62" t="s">
        <v>27</v>
      </c>
      <c r="E447" s="53">
        <f>SUM(F447:N447)</f>
        <v>1</v>
      </c>
      <c r="F447" s="63"/>
      <c r="G447" s="63"/>
      <c r="H447" s="63"/>
      <c r="I447" s="63"/>
      <c r="J447" s="63"/>
      <c r="K447" s="63">
        <v>1</v>
      </c>
      <c r="L447" s="63"/>
      <c r="M447" s="63"/>
      <c r="N447" s="63"/>
      <c r="O447" s="64" t="s">
        <v>551</v>
      </c>
      <c r="P447" s="56"/>
      <c r="Q447" s="57"/>
      <c r="R447" s="58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</row>
    <row r="448" spans="1:28" ht="14.4" x14ac:dyDescent="0.3">
      <c r="A448" s="50"/>
      <c r="B448" s="61">
        <v>43631</v>
      </c>
      <c r="C448" s="62" t="s">
        <v>20</v>
      </c>
      <c r="D448" s="62" t="s">
        <v>21</v>
      </c>
      <c r="E448" s="53">
        <f>SUM(F448:N448)</f>
        <v>6</v>
      </c>
      <c r="F448" s="63"/>
      <c r="G448" s="63">
        <v>1</v>
      </c>
      <c r="H448" s="63">
        <v>2</v>
      </c>
      <c r="I448" s="63"/>
      <c r="J448" s="63">
        <v>2</v>
      </c>
      <c r="K448" s="63"/>
      <c r="L448" s="63">
        <v>1</v>
      </c>
      <c r="M448" s="63"/>
      <c r="N448" s="63"/>
      <c r="O448" s="64" t="s">
        <v>422</v>
      </c>
      <c r="P448" s="56"/>
      <c r="Q448" s="57"/>
      <c r="R448" s="58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</row>
    <row r="449" spans="1:28" ht="14.4" x14ac:dyDescent="0.3">
      <c r="A449" s="50"/>
      <c r="B449" s="61">
        <v>43631</v>
      </c>
      <c r="C449" s="62" t="s">
        <v>59</v>
      </c>
      <c r="D449" s="62" t="s">
        <v>60</v>
      </c>
      <c r="E449" s="53">
        <f>SUM(F449:N449)</f>
        <v>2</v>
      </c>
      <c r="F449" s="63"/>
      <c r="G449" s="63"/>
      <c r="H449" s="63"/>
      <c r="I449" s="63"/>
      <c r="J449" s="63">
        <v>1</v>
      </c>
      <c r="K449" s="63">
        <v>1</v>
      </c>
      <c r="L449" s="63"/>
      <c r="M449" s="63"/>
      <c r="N449" s="63"/>
      <c r="O449" s="64" t="s">
        <v>243</v>
      </c>
      <c r="P449" s="56"/>
      <c r="Q449" s="57"/>
      <c r="R449" s="58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</row>
    <row r="450" spans="1:28" ht="14.4" x14ac:dyDescent="0.3">
      <c r="A450" s="50"/>
      <c r="B450" s="61">
        <v>43634</v>
      </c>
      <c r="C450" s="62" t="s">
        <v>50</v>
      </c>
      <c r="D450" s="62" t="s">
        <v>51</v>
      </c>
      <c r="E450" s="53">
        <f>SUM(F450:N450)</f>
        <v>4</v>
      </c>
      <c r="F450" s="63"/>
      <c r="G450" s="63"/>
      <c r="H450" s="63"/>
      <c r="I450" s="63"/>
      <c r="J450" s="63">
        <v>2</v>
      </c>
      <c r="K450" s="63">
        <v>2</v>
      </c>
      <c r="L450" s="63"/>
      <c r="M450" s="63"/>
      <c r="N450" s="63"/>
      <c r="O450" s="64" t="s">
        <v>763</v>
      </c>
      <c r="P450" s="56"/>
      <c r="Q450" s="57"/>
      <c r="R450" s="58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</row>
    <row r="451" spans="1:28" ht="14.4" x14ac:dyDescent="0.3">
      <c r="A451" s="50"/>
      <c r="B451" s="61">
        <v>43634</v>
      </c>
      <c r="C451" s="62" t="s">
        <v>65</v>
      </c>
      <c r="D451" s="62" t="s">
        <v>66</v>
      </c>
      <c r="E451" s="53">
        <f>SUM(F451:N451)</f>
        <v>4</v>
      </c>
      <c r="F451" s="63"/>
      <c r="G451" s="63"/>
      <c r="H451" s="63"/>
      <c r="I451" s="63"/>
      <c r="J451" s="63">
        <v>2</v>
      </c>
      <c r="K451" s="63">
        <v>2</v>
      </c>
      <c r="L451" s="63"/>
      <c r="M451" s="63"/>
      <c r="N451" s="63"/>
      <c r="O451" s="64" t="s">
        <v>763</v>
      </c>
      <c r="P451" s="56"/>
      <c r="Q451" s="57"/>
      <c r="R451" s="58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</row>
    <row r="452" spans="1:28" ht="14.4" x14ac:dyDescent="0.3">
      <c r="A452" s="50"/>
      <c r="B452" s="61">
        <v>43636</v>
      </c>
      <c r="C452" s="62" t="s">
        <v>80</v>
      </c>
      <c r="D452" s="62" t="s">
        <v>81</v>
      </c>
      <c r="E452" s="53">
        <f>SUM(F452:N452)</f>
        <v>1</v>
      </c>
      <c r="F452" s="63"/>
      <c r="G452" s="63"/>
      <c r="H452" s="63"/>
      <c r="I452" s="63"/>
      <c r="J452" s="63">
        <v>1</v>
      </c>
      <c r="K452" s="63"/>
      <c r="L452" s="63"/>
      <c r="M452" s="63"/>
      <c r="N452" s="63"/>
      <c r="O452" s="64" t="s">
        <v>194</v>
      </c>
      <c r="P452" s="56"/>
      <c r="Q452" s="57"/>
      <c r="R452" s="58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</row>
    <row r="453" spans="1:28" ht="14.4" x14ac:dyDescent="0.3">
      <c r="A453" s="50"/>
      <c r="B453" s="61">
        <v>43638</v>
      </c>
      <c r="C453" s="62" t="s">
        <v>14</v>
      </c>
      <c r="D453" s="62" t="s">
        <v>15</v>
      </c>
      <c r="E453" s="53">
        <f>SUM(F453:N453)</f>
        <v>8</v>
      </c>
      <c r="F453" s="63"/>
      <c r="G453" s="63"/>
      <c r="H453" s="63">
        <v>1</v>
      </c>
      <c r="I453" s="63"/>
      <c r="J453" s="63">
        <v>2</v>
      </c>
      <c r="K453" s="63">
        <v>2</v>
      </c>
      <c r="L453" s="63">
        <v>3</v>
      </c>
      <c r="M453" s="63"/>
      <c r="N453" s="63"/>
      <c r="O453" s="64" t="s">
        <v>828</v>
      </c>
      <c r="P453" s="56"/>
      <c r="Q453" s="57"/>
      <c r="R453" s="58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</row>
    <row r="454" spans="1:28" ht="14.4" x14ac:dyDescent="0.3">
      <c r="A454" s="50"/>
      <c r="B454" s="61">
        <v>43638</v>
      </c>
      <c r="C454" s="62" t="s">
        <v>17</v>
      </c>
      <c r="D454" s="62" t="s">
        <v>18</v>
      </c>
      <c r="E454" s="53">
        <f>SUM(F454:N454)</f>
        <v>1</v>
      </c>
      <c r="F454" s="63"/>
      <c r="G454" s="63">
        <v>1</v>
      </c>
      <c r="H454" s="63"/>
      <c r="I454" s="63"/>
      <c r="J454" s="63"/>
      <c r="K454" s="63"/>
      <c r="L454" s="63"/>
      <c r="M454" s="63"/>
      <c r="N454" s="63"/>
      <c r="O454" s="64" t="s">
        <v>288</v>
      </c>
      <c r="P454" s="56"/>
      <c r="Q454" s="57"/>
      <c r="R454" s="58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</row>
    <row r="455" spans="1:28" ht="14.4" x14ac:dyDescent="0.3">
      <c r="A455" s="50"/>
      <c r="B455" s="61">
        <v>43638</v>
      </c>
      <c r="C455" s="62" t="s">
        <v>68</v>
      </c>
      <c r="D455" s="62" t="s">
        <v>69</v>
      </c>
      <c r="E455" s="53">
        <f>SUM(F455:N455)</f>
        <v>1</v>
      </c>
      <c r="F455" s="63"/>
      <c r="G455" s="63"/>
      <c r="H455" s="63">
        <v>1</v>
      </c>
      <c r="I455" s="63"/>
      <c r="J455" s="63"/>
      <c r="K455" s="63"/>
      <c r="L455" s="63"/>
      <c r="M455" s="63"/>
      <c r="N455" s="63"/>
      <c r="O455" s="64" t="s">
        <v>705</v>
      </c>
      <c r="P455" s="56"/>
      <c r="Q455" s="57"/>
      <c r="R455" s="58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</row>
    <row r="456" spans="1:28" ht="14.4" x14ac:dyDescent="0.3">
      <c r="A456" s="50"/>
      <c r="B456" s="61">
        <v>43638</v>
      </c>
      <c r="C456" s="62" t="s">
        <v>26</v>
      </c>
      <c r="D456" s="62" t="s">
        <v>27</v>
      </c>
      <c r="E456" s="53">
        <f>SUM(F456:N456)</f>
        <v>1</v>
      </c>
      <c r="F456" s="63"/>
      <c r="G456" s="63"/>
      <c r="H456" s="63"/>
      <c r="I456" s="63">
        <v>1</v>
      </c>
      <c r="J456" s="63"/>
      <c r="K456" s="63"/>
      <c r="L456" s="63"/>
      <c r="M456" s="63"/>
      <c r="N456" s="63"/>
      <c r="O456" s="64" t="s">
        <v>552</v>
      </c>
      <c r="P456" s="56"/>
      <c r="Q456" s="57"/>
      <c r="R456" s="58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</row>
    <row r="457" spans="1:28" ht="14.4" x14ac:dyDescent="0.3">
      <c r="A457" s="50"/>
      <c r="B457" s="61">
        <v>43638</v>
      </c>
      <c r="C457" s="62" t="s">
        <v>74</v>
      </c>
      <c r="D457" s="62" t="s">
        <v>75</v>
      </c>
      <c r="E457" s="53">
        <f>SUM(F457:N457)</f>
        <v>1</v>
      </c>
      <c r="F457" s="63"/>
      <c r="G457" s="63"/>
      <c r="H457" s="63"/>
      <c r="I457" s="63">
        <v>1</v>
      </c>
      <c r="J457" s="63"/>
      <c r="K457" s="63"/>
      <c r="L457" s="63"/>
      <c r="M457" s="63"/>
      <c r="N457" s="63"/>
      <c r="O457" s="64" t="s">
        <v>552</v>
      </c>
      <c r="P457" s="56"/>
      <c r="Q457" s="57"/>
      <c r="R457" s="58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</row>
    <row r="458" spans="1:28" ht="14.4" x14ac:dyDescent="0.3">
      <c r="A458" s="50"/>
      <c r="B458" s="61">
        <v>43638</v>
      </c>
      <c r="C458" s="62" t="s">
        <v>71</v>
      </c>
      <c r="D458" s="62" t="s">
        <v>72</v>
      </c>
      <c r="E458" s="53">
        <f>SUM(F458:N458)</f>
        <v>1</v>
      </c>
      <c r="F458" s="63"/>
      <c r="G458" s="63"/>
      <c r="H458" s="63"/>
      <c r="I458" s="63"/>
      <c r="J458" s="63">
        <v>1</v>
      </c>
      <c r="K458" s="63"/>
      <c r="L458" s="63"/>
      <c r="M458" s="63"/>
      <c r="N458" s="63"/>
      <c r="O458" s="64" t="s">
        <v>617</v>
      </c>
      <c r="P458" s="56"/>
      <c r="Q458" s="57"/>
      <c r="R458" s="58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</row>
    <row r="459" spans="1:28" ht="14.4" x14ac:dyDescent="0.3">
      <c r="A459" s="50"/>
      <c r="B459" s="61">
        <v>43639</v>
      </c>
      <c r="C459" s="62" t="s">
        <v>59</v>
      </c>
      <c r="D459" s="62" t="s">
        <v>60</v>
      </c>
      <c r="E459" s="53">
        <f>SUM(F459:N459)</f>
        <v>7</v>
      </c>
      <c r="F459" s="63">
        <v>1</v>
      </c>
      <c r="G459" s="63"/>
      <c r="H459" s="63">
        <v>1</v>
      </c>
      <c r="I459" s="63">
        <v>2</v>
      </c>
      <c r="J459" s="63">
        <v>2</v>
      </c>
      <c r="K459" s="63">
        <v>1</v>
      </c>
      <c r="L459" s="63"/>
      <c r="M459" s="63"/>
      <c r="N459" s="63"/>
      <c r="O459" s="64" t="s">
        <v>244</v>
      </c>
      <c r="P459" s="56"/>
      <c r="Q459" s="57"/>
      <c r="R459" s="58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</row>
    <row r="460" spans="1:28" ht="14.4" x14ac:dyDescent="0.3">
      <c r="A460" s="50"/>
      <c r="B460" s="61">
        <v>43639</v>
      </c>
      <c r="C460" s="62" t="s">
        <v>20</v>
      </c>
      <c r="D460" s="62" t="s">
        <v>21</v>
      </c>
      <c r="E460" s="53">
        <f>SUM(F460:N460)</f>
        <v>10</v>
      </c>
      <c r="F460" s="63"/>
      <c r="G460" s="63">
        <v>1</v>
      </c>
      <c r="H460" s="63"/>
      <c r="I460" s="63"/>
      <c r="J460" s="63">
        <v>8</v>
      </c>
      <c r="K460" s="63">
        <v>1</v>
      </c>
      <c r="L460" s="63"/>
      <c r="M460" s="63"/>
      <c r="N460" s="63"/>
      <c r="O460" s="64" t="s">
        <v>423</v>
      </c>
      <c r="P460" s="56"/>
      <c r="Q460" s="57"/>
      <c r="R460" s="58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</row>
    <row r="461" spans="1:28" ht="14.4" x14ac:dyDescent="0.3">
      <c r="A461" s="50"/>
      <c r="B461" s="61">
        <v>43639</v>
      </c>
      <c r="C461" s="62" t="s">
        <v>29</v>
      </c>
      <c r="D461" s="62" t="s">
        <v>30</v>
      </c>
      <c r="E461" s="53">
        <f>SUM(F461:N461)</f>
        <v>2</v>
      </c>
      <c r="F461" s="63"/>
      <c r="G461" s="63">
        <v>1</v>
      </c>
      <c r="H461" s="63"/>
      <c r="I461" s="63"/>
      <c r="J461" s="63">
        <v>1</v>
      </c>
      <c r="K461" s="63"/>
      <c r="L461" s="63"/>
      <c r="M461" s="63"/>
      <c r="N461" s="63"/>
      <c r="O461" s="64" t="s">
        <v>724</v>
      </c>
      <c r="P461" s="56"/>
      <c r="Q461" s="57"/>
      <c r="R461" s="58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</row>
    <row r="462" spans="1:28" ht="14.4" x14ac:dyDescent="0.3">
      <c r="A462" s="50"/>
      <c r="B462" s="61">
        <v>43639</v>
      </c>
      <c r="C462" s="62" t="s">
        <v>14</v>
      </c>
      <c r="D462" s="62" t="s">
        <v>15</v>
      </c>
      <c r="E462" s="53">
        <f>SUM(F462:N462)</f>
        <v>14</v>
      </c>
      <c r="F462" s="63"/>
      <c r="G462" s="63">
        <v>2</v>
      </c>
      <c r="H462" s="63">
        <v>1</v>
      </c>
      <c r="I462" s="63"/>
      <c r="J462" s="63">
        <v>4</v>
      </c>
      <c r="K462" s="63">
        <v>2</v>
      </c>
      <c r="L462" s="63">
        <v>5</v>
      </c>
      <c r="M462" s="63"/>
      <c r="N462" s="63"/>
      <c r="O462" s="64" t="s">
        <v>829</v>
      </c>
      <c r="P462" s="56"/>
      <c r="Q462" s="57"/>
      <c r="R462" s="58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</row>
    <row r="463" spans="1:28" ht="14.4" x14ac:dyDescent="0.3">
      <c r="A463" s="50"/>
      <c r="B463" s="61">
        <v>43639</v>
      </c>
      <c r="C463" s="62" t="s">
        <v>23</v>
      </c>
      <c r="D463" s="62" t="s">
        <v>24</v>
      </c>
      <c r="E463" s="53">
        <f>SUM(F463:N463)</f>
        <v>4</v>
      </c>
      <c r="F463" s="63"/>
      <c r="G463" s="63">
        <v>1</v>
      </c>
      <c r="H463" s="63"/>
      <c r="I463" s="63">
        <v>3</v>
      </c>
      <c r="J463" s="63"/>
      <c r="K463" s="63"/>
      <c r="L463" s="63"/>
      <c r="M463" s="63"/>
      <c r="N463" s="63"/>
      <c r="O463" s="64" t="s">
        <v>874</v>
      </c>
      <c r="P463" s="56"/>
      <c r="Q463" s="57"/>
      <c r="R463" s="58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</row>
    <row r="464" spans="1:28" ht="14.4" x14ac:dyDescent="0.3">
      <c r="A464" s="50"/>
      <c r="B464" s="61">
        <v>43644</v>
      </c>
      <c r="C464" s="62" t="s">
        <v>74</v>
      </c>
      <c r="D464" s="62" t="s">
        <v>75</v>
      </c>
      <c r="E464" s="53">
        <f>SUM(F464:N464)</f>
        <v>2</v>
      </c>
      <c r="F464" s="63"/>
      <c r="G464" s="63"/>
      <c r="H464" s="63">
        <v>1</v>
      </c>
      <c r="I464" s="63"/>
      <c r="J464" s="63">
        <v>1</v>
      </c>
      <c r="K464" s="63"/>
      <c r="L464" s="63"/>
      <c r="M464" s="63"/>
      <c r="N464" s="63"/>
      <c r="O464" s="64" t="s">
        <v>600</v>
      </c>
      <c r="P464" s="56"/>
      <c r="Q464" s="57"/>
      <c r="R464" s="58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</row>
    <row r="465" spans="1:28" ht="14.4" x14ac:dyDescent="0.3">
      <c r="A465" s="50"/>
      <c r="B465" s="61">
        <v>43645</v>
      </c>
      <c r="C465" s="62" t="s">
        <v>26</v>
      </c>
      <c r="D465" s="62" t="s">
        <v>27</v>
      </c>
      <c r="E465" s="53">
        <f>SUM(F465:N465)</f>
        <v>3</v>
      </c>
      <c r="F465" s="63"/>
      <c r="G465" s="63"/>
      <c r="H465" s="63">
        <v>1</v>
      </c>
      <c r="I465" s="63"/>
      <c r="J465" s="63">
        <v>2</v>
      </c>
      <c r="K465" s="63"/>
      <c r="L465" s="63"/>
      <c r="M465" s="63"/>
      <c r="N465" s="63"/>
      <c r="O465" s="64" t="s">
        <v>553</v>
      </c>
      <c r="P465" s="56"/>
      <c r="Q465" s="57"/>
      <c r="R465" s="58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</row>
    <row r="466" spans="1:28" ht="14.4" x14ac:dyDescent="0.3">
      <c r="A466" s="50"/>
      <c r="B466" s="61">
        <v>43645</v>
      </c>
      <c r="C466" s="62" t="s">
        <v>80</v>
      </c>
      <c r="D466" s="62" t="s">
        <v>81</v>
      </c>
      <c r="E466" s="53">
        <f>SUM(F466:N466)</f>
        <v>1</v>
      </c>
      <c r="F466" s="63"/>
      <c r="G466" s="63"/>
      <c r="H466" s="63"/>
      <c r="I466" s="63"/>
      <c r="J466" s="63"/>
      <c r="K466" s="63">
        <v>1</v>
      </c>
      <c r="L466" s="63"/>
      <c r="M466" s="63"/>
      <c r="N466" s="63"/>
      <c r="O466" s="64" t="s">
        <v>195</v>
      </c>
      <c r="P466" s="56"/>
      <c r="Q466" s="57"/>
      <c r="R466" s="58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</row>
    <row r="467" spans="1:28" ht="14.4" x14ac:dyDescent="0.3">
      <c r="A467" s="50"/>
      <c r="B467" s="61">
        <v>43645</v>
      </c>
      <c r="C467" s="62" t="s">
        <v>29</v>
      </c>
      <c r="D467" s="62" t="s">
        <v>30</v>
      </c>
      <c r="E467" s="53">
        <f>SUM(F467:N467)</f>
        <v>8</v>
      </c>
      <c r="F467" s="63"/>
      <c r="G467" s="63"/>
      <c r="H467" s="63"/>
      <c r="I467" s="63">
        <v>6</v>
      </c>
      <c r="J467" s="63">
        <v>2</v>
      </c>
      <c r="K467" s="63"/>
      <c r="L467" s="63"/>
      <c r="M467" s="63"/>
      <c r="N467" s="63"/>
      <c r="O467" s="64" t="s">
        <v>725</v>
      </c>
      <c r="P467" s="56"/>
      <c r="Q467" s="57"/>
      <c r="R467" s="58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</row>
    <row r="468" spans="1:28" ht="14.4" x14ac:dyDescent="0.3">
      <c r="A468" s="50"/>
      <c r="B468" s="61">
        <v>43645</v>
      </c>
      <c r="C468" s="62" t="s">
        <v>17</v>
      </c>
      <c r="D468" s="62" t="s">
        <v>18</v>
      </c>
      <c r="E468" s="53">
        <f>SUM(F468:N468)</f>
        <v>3</v>
      </c>
      <c r="F468" s="63"/>
      <c r="G468" s="63">
        <v>1</v>
      </c>
      <c r="H468" s="63"/>
      <c r="I468" s="63"/>
      <c r="J468" s="63">
        <v>1</v>
      </c>
      <c r="K468" s="63">
        <v>1</v>
      </c>
      <c r="L468" s="63"/>
      <c r="M468" s="63"/>
      <c r="N468" s="63"/>
      <c r="O468" s="64" t="s">
        <v>289</v>
      </c>
      <c r="P468" s="56"/>
      <c r="Q468" s="57"/>
      <c r="R468" s="58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</row>
    <row r="469" spans="1:28" ht="14.4" x14ac:dyDescent="0.3">
      <c r="A469" s="50"/>
      <c r="B469" s="61">
        <v>43645</v>
      </c>
      <c r="C469" s="62" t="s">
        <v>20</v>
      </c>
      <c r="D469" s="62" t="s">
        <v>21</v>
      </c>
      <c r="E469" s="53">
        <f>SUM(F469:N469)</f>
        <v>2</v>
      </c>
      <c r="F469" s="63"/>
      <c r="G469" s="63"/>
      <c r="H469" s="63"/>
      <c r="I469" s="63"/>
      <c r="J469" s="63">
        <v>1</v>
      </c>
      <c r="K469" s="63">
        <v>1</v>
      </c>
      <c r="L469" s="63"/>
      <c r="M469" s="63"/>
      <c r="N469" s="63"/>
      <c r="O469" s="64" t="s">
        <v>424</v>
      </c>
      <c r="P469" s="56"/>
      <c r="Q469" s="57"/>
      <c r="R469" s="58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</row>
    <row r="470" spans="1:28" ht="14.4" x14ac:dyDescent="0.3">
      <c r="A470" s="50"/>
      <c r="B470" s="61">
        <v>43646</v>
      </c>
      <c r="C470" s="62" t="s">
        <v>80</v>
      </c>
      <c r="D470" s="62" t="s">
        <v>81</v>
      </c>
      <c r="E470" s="53">
        <f>SUM(F470:N470)</f>
        <v>2</v>
      </c>
      <c r="F470" s="63"/>
      <c r="G470" s="63"/>
      <c r="H470" s="63"/>
      <c r="I470" s="63"/>
      <c r="J470" s="63">
        <v>2</v>
      </c>
      <c r="K470" s="63"/>
      <c r="L470" s="63"/>
      <c r="M470" s="63"/>
      <c r="N470" s="63"/>
      <c r="O470" s="64" t="s">
        <v>196</v>
      </c>
      <c r="P470" s="56"/>
      <c r="Q470" s="57"/>
      <c r="R470" s="58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</row>
    <row r="471" spans="1:28" ht="14.4" x14ac:dyDescent="0.3">
      <c r="A471" s="50"/>
      <c r="B471" s="61">
        <v>43646</v>
      </c>
      <c r="C471" s="62" t="s">
        <v>47</v>
      </c>
      <c r="D471" s="62" t="s">
        <v>48</v>
      </c>
      <c r="E471" s="53">
        <f>SUM(F471:N471)</f>
        <v>10</v>
      </c>
      <c r="F471" s="63">
        <v>2</v>
      </c>
      <c r="G471" s="63"/>
      <c r="H471" s="63">
        <v>1</v>
      </c>
      <c r="I471" s="63"/>
      <c r="J471" s="63">
        <v>7</v>
      </c>
      <c r="K471" s="63"/>
      <c r="L471" s="63"/>
      <c r="M471" s="63"/>
      <c r="N471" s="63"/>
      <c r="O471" s="64" t="s">
        <v>348</v>
      </c>
      <c r="P471" s="56"/>
      <c r="Q471" s="57"/>
      <c r="R471" s="58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</row>
    <row r="472" spans="1:28" ht="14.4" x14ac:dyDescent="0.3">
      <c r="A472" s="50"/>
      <c r="B472" s="61">
        <v>43646</v>
      </c>
      <c r="C472" s="62" t="s">
        <v>38</v>
      </c>
      <c r="D472" s="62" t="s">
        <v>39</v>
      </c>
      <c r="E472" s="53">
        <f>SUM(F472:N472)</f>
        <v>4</v>
      </c>
      <c r="F472" s="63"/>
      <c r="G472" s="63">
        <v>1</v>
      </c>
      <c r="H472" s="63"/>
      <c r="I472" s="63"/>
      <c r="J472" s="63">
        <v>3</v>
      </c>
      <c r="K472" s="63"/>
      <c r="L472" s="63"/>
      <c r="M472" s="63"/>
      <c r="N472" s="63"/>
      <c r="O472" s="64" t="s">
        <v>509</v>
      </c>
      <c r="P472" s="56"/>
      <c r="Q472" s="57"/>
      <c r="R472" s="58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</row>
    <row r="473" spans="1:28" ht="14.4" x14ac:dyDescent="0.3">
      <c r="A473" s="50"/>
      <c r="B473" s="61">
        <v>43649</v>
      </c>
      <c r="C473" s="62" t="s">
        <v>20</v>
      </c>
      <c r="D473" s="62" t="s">
        <v>21</v>
      </c>
      <c r="E473" s="53">
        <f>SUM(F473:N473)</f>
        <v>1</v>
      </c>
      <c r="F473" s="63"/>
      <c r="G473" s="63"/>
      <c r="H473" s="63"/>
      <c r="I473" s="63"/>
      <c r="J473" s="63">
        <v>1</v>
      </c>
      <c r="K473" s="63"/>
      <c r="L473" s="63"/>
      <c r="M473" s="63"/>
      <c r="N473" s="63"/>
      <c r="O473" s="64" t="s">
        <v>250</v>
      </c>
      <c r="P473" s="56"/>
      <c r="Q473" s="57"/>
      <c r="R473" s="58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</row>
    <row r="474" spans="1:28" ht="14.4" x14ac:dyDescent="0.3">
      <c r="A474" s="50"/>
      <c r="B474" s="61">
        <v>43650</v>
      </c>
      <c r="C474" s="62" t="s">
        <v>29</v>
      </c>
      <c r="D474" s="62" t="s">
        <v>30</v>
      </c>
      <c r="E474" s="53">
        <f>SUM(F474:N474)</f>
        <v>3</v>
      </c>
      <c r="F474" s="63"/>
      <c r="G474" s="63"/>
      <c r="H474" s="63"/>
      <c r="I474" s="63"/>
      <c r="J474" s="63">
        <v>2</v>
      </c>
      <c r="K474" s="63">
        <v>1</v>
      </c>
      <c r="L474" s="63"/>
      <c r="M474" s="63"/>
      <c r="N474" s="63"/>
      <c r="O474" s="64" t="s">
        <v>419</v>
      </c>
      <c r="P474" s="56"/>
      <c r="Q474" s="57"/>
      <c r="R474" s="58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</row>
    <row r="475" spans="1:28" ht="14.4" x14ac:dyDescent="0.3">
      <c r="A475" s="50"/>
      <c r="B475" s="61">
        <v>43651</v>
      </c>
      <c r="C475" s="62" t="s">
        <v>59</v>
      </c>
      <c r="D475" s="62" t="s">
        <v>60</v>
      </c>
      <c r="E475" s="53">
        <f>SUM(F475:N475)</f>
        <v>2</v>
      </c>
      <c r="F475" s="63"/>
      <c r="G475" s="63"/>
      <c r="H475" s="63"/>
      <c r="I475" s="63"/>
      <c r="J475" s="63">
        <v>1</v>
      </c>
      <c r="K475" s="63">
        <v>1</v>
      </c>
      <c r="L475" s="63"/>
      <c r="M475" s="63"/>
      <c r="N475" s="63"/>
      <c r="O475" s="64" t="s">
        <v>245</v>
      </c>
      <c r="P475" s="56"/>
      <c r="Q475" s="57"/>
      <c r="R475" s="58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</row>
    <row r="476" spans="1:28" ht="14.4" x14ac:dyDescent="0.3">
      <c r="A476" s="50"/>
      <c r="B476" s="61">
        <v>43651</v>
      </c>
      <c r="C476" s="62" t="s">
        <v>20</v>
      </c>
      <c r="D476" s="62" t="s">
        <v>21</v>
      </c>
      <c r="E476" s="53">
        <f>SUM(F476:N476)</f>
        <v>6</v>
      </c>
      <c r="F476" s="63"/>
      <c r="G476" s="63">
        <v>1</v>
      </c>
      <c r="H476" s="63"/>
      <c r="I476" s="63">
        <v>4</v>
      </c>
      <c r="J476" s="63">
        <v>1</v>
      </c>
      <c r="K476" s="63"/>
      <c r="L476" s="63"/>
      <c r="M476" s="63"/>
      <c r="N476" s="63"/>
      <c r="O476" s="64" t="s">
        <v>425</v>
      </c>
      <c r="P476" s="56"/>
      <c r="Q476" s="57"/>
      <c r="R476" s="58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</row>
    <row r="477" spans="1:28" ht="14.4" x14ac:dyDescent="0.3">
      <c r="A477" s="50"/>
      <c r="B477" s="61">
        <v>43651</v>
      </c>
      <c r="C477" s="62" t="s">
        <v>29</v>
      </c>
      <c r="D477" s="62" t="s">
        <v>30</v>
      </c>
      <c r="E477" s="53">
        <f>SUM(F477:N477)</f>
        <v>8</v>
      </c>
      <c r="F477" s="63"/>
      <c r="G477" s="63"/>
      <c r="H477" s="63"/>
      <c r="I477" s="63">
        <v>4</v>
      </c>
      <c r="J477" s="63">
        <v>3</v>
      </c>
      <c r="K477" s="63">
        <v>1</v>
      </c>
      <c r="L477" s="63"/>
      <c r="M477" s="63"/>
      <c r="N477" s="63"/>
      <c r="O477" s="64" t="s">
        <v>726</v>
      </c>
      <c r="P477" s="56"/>
      <c r="Q477" s="57"/>
      <c r="R477" s="58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</row>
    <row r="478" spans="1:28" ht="14.4" x14ac:dyDescent="0.3">
      <c r="A478" s="50"/>
      <c r="B478" s="61">
        <v>43651</v>
      </c>
      <c r="C478" s="62" t="s">
        <v>106</v>
      </c>
      <c r="D478" s="62" t="s">
        <v>107</v>
      </c>
      <c r="E478" s="53">
        <f>SUM(F478:N478)</f>
        <v>2</v>
      </c>
      <c r="F478" s="63"/>
      <c r="G478" s="63"/>
      <c r="H478" s="63"/>
      <c r="I478" s="63"/>
      <c r="J478" s="63">
        <v>1</v>
      </c>
      <c r="K478" s="63"/>
      <c r="L478" s="63"/>
      <c r="M478" s="63">
        <v>1</v>
      </c>
      <c r="N478" s="63"/>
      <c r="O478" s="64" t="s">
        <v>790</v>
      </c>
      <c r="P478" s="56"/>
      <c r="Q478" s="57"/>
      <c r="R478" s="58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</row>
    <row r="479" spans="1:28" ht="14.4" x14ac:dyDescent="0.3">
      <c r="A479" s="50"/>
      <c r="B479" s="61">
        <v>43652</v>
      </c>
      <c r="C479" s="62" t="s">
        <v>26</v>
      </c>
      <c r="D479" s="62" t="s">
        <v>27</v>
      </c>
      <c r="E479" s="53">
        <f>SUM(F479:N479)</f>
        <v>2</v>
      </c>
      <c r="F479" s="63"/>
      <c r="G479" s="63"/>
      <c r="H479" s="63"/>
      <c r="I479" s="63">
        <v>1</v>
      </c>
      <c r="J479" s="63">
        <v>1</v>
      </c>
      <c r="K479" s="63"/>
      <c r="L479" s="63"/>
      <c r="M479" s="63"/>
      <c r="N479" s="63"/>
      <c r="O479" s="64" t="s">
        <v>554</v>
      </c>
      <c r="P479" s="56"/>
      <c r="Q479" s="57"/>
      <c r="R479" s="58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</row>
    <row r="480" spans="1:28" ht="14.4" x14ac:dyDescent="0.3">
      <c r="A480" s="50"/>
      <c r="B480" s="61">
        <v>43652</v>
      </c>
      <c r="C480" s="62" t="s">
        <v>44</v>
      </c>
      <c r="D480" s="62" t="s">
        <v>45</v>
      </c>
      <c r="E480" s="53">
        <f>SUM(F480:N480)</f>
        <v>2</v>
      </c>
      <c r="F480" s="63"/>
      <c r="G480" s="63">
        <v>1</v>
      </c>
      <c r="H480" s="63"/>
      <c r="I480" s="63"/>
      <c r="J480" s="63">
        <v>1</v>
      </c>
      <c r="K480" s="63"/>
      <c r="L480" s="63"/>
      <c r="M480" s="63"/>
      <c r="N480" s="63"/>
      <c r="O480" s="97" t="s">
        <v>387</v>
      </c>
      <c r="P480" s="56"/>
      <c r="Q480" s="57"/>
      <c r="R480" s="58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</row>
    <row r="481" spans="1:28" ht="14.4" x14ac:dyDescent="0.3">
      <c r="A481" s="50"/>
      <c r="B481" s="61">
        <v>43652</v>
      </c>
      <c r="C481" s="62" t="s">
        <v>14</v>
      </c>
      <c r="D481" s="62" t="s">
        <v>15</v>
      </c>
      <c r="E481" s="53">
        <f>SUM(F481:N481)</f>
        <v>3</v>
      </c>
      <c r="F481" s="63"/>
      <c r="G481" s="63"/>
      <c r="H481" s="63">
        <v>1</v>
      </c>
      <c r="I481" s="63"/>
      <c r="J481" s="63">
        <v>1</v>
      </c>
      <c r="K481" s="63"/>
      <c r="L481" s="63">
        <v>1</v>
      </c>
      <c r="M481" s="63"/>
      <c r="N481" s="63"/>
      <c r="O481" s="64" t="s">
        <v>830</v>
      </c>
      <c r="P481" s="56"/>
      <c r="Q481" s="57"/>
      <c r="R481" s="58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</row>
    <row r="482" spans="1:28" ht="14.4" x14ac:dyDescent="0.3">
      <c r="A482" s="50"/>
      <c r="B482" s="61">
        <v>43652</v>
      </c>
      <c r="C482" s="62" t="s">
        <v>56</v>
      </c>
      <c r="D482" s="62" t="s">
        <v>57</v>
      </c>
      <c r="E482" s="53">
        <f>SUM(F482:N482)</f>
        <v>7</v>
      </c>
      <c r="F482" s="63"/>
      <c r="G482" s="63"/>
      <c r="H482" s="63"/>
      <c r="I482" s="63"/>
      <c r="J482" s="63">
        <v>3</v>
      </c>
      <c r="K482" s="63">
        <v>3</v>
      </c>
      <c r="L482" s="63">
        <v>1</v>
      </c>
      <c r="M482" s="63"/>
      <c r="N482" s="63"/>
      <c r="O482" s="75" t="s">
        <v>219</v>
      </c>
      <c r="P482" s="56"/>
      <c r="Q482" s="57"/>
      <c r="R482" s="58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</row>
    <row r="483" spans="1:28" ht="14.4" x14ac:dyDescent="0.3">
      <c r="A483" s="50"/>
      <c r="B483" s="61">
        <v>43652</v>
      </c>
      <c r="C483" s="62" t="s">
        <v>20</v>
      </c>
      <c r="D483" s="62" t="s">
        <v>21</v>
      </c>
      <c r="E483" s="53">
        <f>SUM(F483:N483)</f>
        <v>7</v>
      </c>
      <c r="F483" s="63"/>
      <c r="G483" s="63">
        <v>1</v>
      </c>
      <c r="H483" s="63"/>
      <c r="I483" s="63">
        <v>3</v>
      </c>
      <c r="J483" s="63">
        <v>2</v>
      </c>
      <c r="K483" s="63"/>
      <c r="L483" s="63">
        <v>1</v>
      </c>
      <c r="M483" s="63"/>
      <c r="N483" s="63"/>
      <c r="O483" s="64" t="s">
        <v>426</v>
      </c>
      <c r="P483" s="56"/>
      <c r="Q483" s="57"/>
      <c r="R483" s="58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</row>
    <row r="484" spans="1:28" ht="14.4" x14ac:dyDescent="0.3">
      <c r="A484" s="50"/>
      <c r="B484" s="61">
        <v>43652</v>
      </c>
      <c r="C484" s="62" t="s">
        <v>17</v>
      </c>
      <c r="D484" s="62" t="s">
        <v>18</v>
      </c>
      <c r="E484" s="53">
        <f>SUM(F484:N484)</f>
        <v>15</v>
      </c>
      <c r="F484" s="63"/>
      <c r="G484" s="63">
        <v>1</v>
      </c>
      <c r="H484" s="63"/>
      <c r="I484" s="63">
        <v>11</v>
      </c>
      <c r="J484" s="63">
        <v>2</v>
      </c>
      <c r="K484" s="63"/>
      <c r="L484" s="63">
        <v>1</v>
      </c>
      <c r="M484" s="63"/>
      <c r="N484" s="63"/>
      <c r="O484" s="64" t="s">
        <v>290</v>
      </c>
      <c r="P484" s="56"/>
      <c r="Q484" s="57"/>
      <c r="R484" s="58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</row>
    <row r="485" spans="1:28" ht="14.4" x14ac:dyDescent="0.3">
      <c r="A485" s="50"/>
      <c r="B485" s="61">
        <v>43653</v>
      </c>
      <c r="C485" s="62" t="s">
        <v>29</v>
      </c>
      <c r="D485" s="62" t="s">
        <v>30</v>
      </c>
      <c r="E485" s="53">
        <f>SUM(F485:N485)</f>
        <v>4</v>
      </c>
      <c r="F485" s="63"/>
      <c r="G485" s="63">
        <v>2</v>
      </c>
      <c r="H485" s="63">
        <v>2</v>
      </c>
      <c r="I485" s="63"/>
      <c r="J485" s="63"/>
      <c r="K485" s="63"/>
      <c r="L485" s="63"/>
      <c r="M485" s="63"/>
      <c r="N485" s="63"/>
      <c r="O485" s="64" t="s">
        <v>727</v>
      </c>
      <c r="P485" s="56"/>
      <c r="Q485" s="57"/>
      <c r="R485" s="58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</row>
    <row r="486" spans="1:28" ht="14.4" x14ac:dyDescent="0.3">
      <c r="A486" s="50"/>
      <c r="B486" s="61">
        <v>43653</v>
      </c>
      <c r="C486" s="62" t="s">
        <v>35</v>
      </c>
      <c r="D486" s="62" t="s">
        <v>36</v>
      </c>
      <c r="E486" s="53">
        <f>SUM(F486:N486)</f>
        <v>3</v>
      </c>
      <c r="F486" s="63"/>
      <c r="G486" s="63">
        <v>1</v>
      </c>
      <c r="H486" s="63"/>
      <c r="I486" s="63"/>
      <c r="J486" s="63">
        <v>1</v>
      </c>
      <c r="K486" s="63">
        <v>1</v>
      </c>
      <c r="L486" s="63"/>
      <c r="M486" s="63"/>
      <c r="N486" s="63"/>
      <c r="O486" s="64" t="s">
        <v>473</v>
      </c>
      <c r="P486" s="56"/>
      <c r="Q486" s="57"/>
      <c r="R486" s="58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</row>
    <row r="487" spans="1:28" ht="14.4" x14ac:dyDescent="0.3">
      <c r="A487" s="50"/>
      <c r="B487" s="61">
        <v>43653</v>
      </c>
      <c r="C487" s="62" t="s">
        <v>56</v>
      </c>
      <c r="D487" s="62" t="s">
        <v>57</v>
      </c>
      <c r="E487" s="53">
        <f>SUM(F487:N487)</f>
        <v>3</v>
      </c>
      <c r="F487" s="63"/>
      <c r="G487" s="63"/>
      <c r="H487" s="63"/>
      <c r="I487" s="63"/>
      <c r="J487" s="63">
        <v>1</v>
      </c>
      <c r="K487" s="63">
        <v>2</v>
      </c>
      <c r="L487" s="63"/>
      <c r="M487" s="63"/>
      <c r="N487" s="63"/>
      <c r="O487" s="64" t="s">
        <v>220</v>
      </c>
      <c r="P487" s="99"/>
      <c r="Q487" s="57"/>
      <c r="R487" s="58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</row>
    <row r="488" spans="1:28" ht="14.4" x14ac:dyDescent="0.3">
      <c r="A488" s="50"/>
      <c r="B488" s="61">
        <v>43653</v>
      </c>
      <c r="C488" s="62" t="s">
        <v>41</v>
      </c>
      <c r="D488" s="62" t="s">
        <v>42</v>
      </c>
      <c r="E488" s="53">
        <f>SUM(F488:N488)</f>
        <v>4</v>
      </c>
      <c r="F488" s="63"/>
      <c r="G488" s="63"/>
      <c r="H488" s="63"/>
      <c r="I488" s="63"/>
      <c r="J488" s="63">
        <v>2</v>
      </c>
      <c r="K488" s="63">
        <v>2</v>
      </c>
      <c r="L488" s="63"/>
      <c r="M488" s="63"/>
      <c r="N488" s="63"/>
      <c r="O488" s="76" t="s">
        <v>948</v>
      </c>
      <c r="P488" s="56"/>
      <c r="Q488" s="57"/>
      <c r="R488" s="58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</row>
    <row r="489" spans="1:28" ht="14.4" x14ac:dyDescent="0.3">
      <c r="A489" s="50"/>
      <c r="B489" s="61">
        <v>43653</v>
      </c>
      <c r="C489" s="62" t="s">
        <v>20</v>
      </c>
      <c r="D489" s="62" t="s">
        <v>21</v>
      </c>
      <c r="E489" s="53">
        <f>SUM(F489:N489)</f>
        <v>11</v>
      </c>
      <c r="F489" s="63"/>
      <c r="G489" s="63"/>
      <c r="H489" s="63"/>
      <c r="I489" s="63">
        <v>5</v>
      </c>
      <c r="J489" s="63">
        <v>3</v>
      </c>
      <c r="K489" s="63">
        <v>2</v>
      </c>
      <c r="L489" s="63">
        <v>1</v>
      </c>
      <c r="M489" s="63"/>
      <c r="N489" s="63"/>
      <c r="O489" s="64" t="s">
        <v>427</v>
      </c>
      <c r="P489" s="56"/>
      <c r="Q489" s="57"/>
      <c r="R489" s="58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</row>
    <row r="490" spans="1:28" ht="14.4" x14ac:dyDescent="0.3">
      <c r="A490" s="50"/>
      <c r="B490" s="61">
        <v>43653</v>
      </c>
      <c r="C490" s="62" t="s">
        <v>62</v>
      </c>
      <c r="D490" s="62" t="s">
        <v>63</v>
      </c>
      <c r="E490" s="53">
        <f>SUM(F490:N490)</f>
        <v>3</v>
      </c>
      <c r="F490" s="63"/>
      <c r="G490" s="63">
        <v>1</v>
      </c>
      <c r="H490" s="63"/>
      <c r="I490" s="63"/>
      <c r="J490" s="63">
        <v>2</v>
      </c>
      <c r="K490" s="63"/>
      <c r="L490" s="63"/>
      <c r="M490" s="63"/>
      <c r="N490" s="63"/>
      <c r="O490" s="64" t="s">
        <v>326</v>
      </c>
      <c r="P490" s="56"/>
      <c r="Q490" s="57"/>
      <c r="R490" s="58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</row>
    <row r="491" spans="1:28" ht="14.4" x14ac:dyDescent="0.3">
      <c r="A491" s="50"/>
      <c r="B491" s="61">
        <v>43653</v>
      </c>
      <c r="C491" s="62" t="s">
        <v>47</v>
      </c>
      <c r="D491" s="62" t="s">
        <v>48</v>
      </c>
      <c r="E491" s="53">
        <f>SUM(F491:N491)</f>
        <v>4</v>
      </c>
      <c r="F491" s="63"/>
      <c r="G491" s="63">
        <v>1</v>
      </c>
      <c r="H491" s="63"/>
      <c r="I491" s="63"/>
      <c r="J491" s="63">
        <v>3</v>
      </c>
      <c r="K491" s="63"/>
      <c r="L491" s="63"/>
      <c r="M491" s="63"/>
      <c r="N491" s="63"/>
      <c r="O491" s="64" t="s">
        <v>349</v>
      </c>
      <c r="P491" s="56"/>
      <c r="Q491" s="57"/>
      <c r="R491" s="58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</row>
    <row r="492" spans="1:28" ht="14.4" x14ac:dyDescent="0.3">
      <c r="A492" s="50"/>
      <c r="B492" s="61">
        <v>43653</v>
      </c>
      <c r="C492" s="62" t="s">
        <v>32</v>
      </c>
      <c r="D492" s="62" t="s">
        <v>33</v>
      </c>
      <c r="E492" s="53">
        <f>SUM(F492:N492)</f>
        <v>8</v>
      </c>
      <c r="F492" s="63"/>
      <c r="G492" s="63">
        <v>1</v>
      </c>
      <c r="H492" s="63"/>
      <c r="I492" s="63">
        <v>1</v>
      </c>
      <c r="J492" s="63">
        <v>5</v>
      </c>
      <c r="K492" s="63">
        <v>1</v>
      </c>
      <c r="L492" s="63"/>
      <c r="M492" s="63"/>
      <c r="N492" s="63"/>
      <c r="O492" s="64" t="s">
        <v>654</v>
      </c>
      <c r="P492" s="56"/>
      <c r="Q492" s="57"/>
      <c r="R492" s="58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</row>
    <row r="493" spans="1:28" ht="14.4" x14ac:dyDescent="0.3">
      <c r="A493" s="50"/>
      <c r="B493" s="61">
        <v>43654</v>
      </c>
      <c r="C493" s="62" t="s">
        <v>71</v>
      </c>
      <c r="D493" s="62" t="s">
        <v>72</v>
      </c>
      <c r="E493" s="53">
        <f>SUM(F493:N493)</f>
        <v>5</v>
      </c>
      <c r="F493" s="63"/>
      <c r="G493" s="63"/>
      <c r="H493" s="63">
        <v>1</v>
      </c>
      <c r="I493" s="63"/>
      <c r="J493" s="63">
        <v>2</v>
      </c>
      <c r="K493" s="63">
        <v>1</v>
      </c>
      <c r="L493" s="63">
        <v>1</v>
      </c>
      <c r="M493" s="63"/>
      <c r="N493" s="63"/>
      <c r="O493" s="64" t="s">
        <v>618</v>
      </c>
      <c r="P493" s="56"/>
      <c r="Q493" s="57"/>
      <c r="R493" s="58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</row>
    <row r="494" spans="1:28" ht="14.4" x14ac:dyDescent="0.3">
      <c r="A494" s="50"/>
      <c r="B494" s="61">
        <v>43655</v>
      </c>
      <c r="C494" s="62" t="s">
        <v>29</v>
      </c>
      <c r="D494" s="62" t="s">
        <v>30</v>
      </c>
      <c r="E494" s="53">
        <f>SUM(F494:N494)</f>
        <v>1</v>
      </c>
      <c r="F494" s="63"/>
      <c r="G494" s="63"/>
      <c r="H494" s="63"/>
      <c r="I494" s="63"/>
      <c r="J494" s="63"/>
      <c r="K494" s="63">
        <v>1</v>
      </c>
      <c r="L494" s="63"/>
      <c r="M494" s="63"/>
      <c r="N494" s="63"/>
      <c r="O494" s="64" t="s">
        <v>728</v>
      </c>
      <c r="P494" s="56"/>
      <c r="Q494" s="57"/>
      <c r="R494" s="58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</row>
    <row r="495" spans="1:28" ht="14.4" x14ac:dyDescent="0.3">
      <c r="A495" s="50"/>
      <c r="B495" s="61">
        <v>43656</v>
      </c>
      <c r="C495" s="62" t="s">
        <v>32</v>
      </c>
      <c r="D495" s="62" t="s">
        <v>33</v>
      </c>
      <c r="E495" s="53">
        <f>SUM(F495:N495)</f>
        <v>4</v>
      </c>
      <c r="F495" s="63"/>
      <c r="G495" s="63"/>
      <c r="H495" s="63"/>
      <c r="I495" s="63">
        <v>2</v>
      </c>
      <c r="J495" s="63">
        <v>2</v>
      </c>
      <c r="K495" s="63"/>
      <c r="L495" s="63"/>
      <c r="M495" s="63"/>
      <c r="N495" s="63"/>
      <c r="O495" s="64" t="s">
        <v>655</v>
      </c>
      <c r="P495" s="56"/>
      <c r="Q495" s="57"/>
      <c r="R495" s="58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</row>
    <row r="496" spans="1:28" ht="14.4" x14ac:dyDescent="0.3">
      <c r="A496" s="50"/>
      <c r="B496" s="61">
        <v>43657</v>
      </c>
      <c r="C496" s="62" t="s">
        <v>41</v>
      </c>
      <c r="D496" s="62" t="s">
        <v>42</v>
      </c>
      <c r="E496" s="53">
        <f>SUM(F496:N496)</f>
        <v>4</v>
      </c>
      <c r="F496" s="63"/>
      <c r="G496" s="63"/>
      <c r="H496" s="63"/>
      <c r="I496" s="63"/>
      <c r="J496" s="63">
        <v>4</v>
      </c>
      <c r="K496" s="63"/>
      <c r="L496" s="63"/>
      <c r="M496" s="63"/>
      <c r="N496" s="63"/>
      <c r="O496" s="64" t="s">
        <v>576</v>
      </c>
      <c r="P496" s="56"/>
      <c r="Q496" s="57"/>
      <c r="R496" s="58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</row>
    <row r="497" spans="1:28" ht="14.4" x14ac:dyDescent="0.3">
      <c r="A497" s="50"/>
      <c r="B497" s="61">
        <v>43658</v>
      </c>
      <c r="C497" s="62" t="s">
        <v>20</v>
      </c>
      <c r="D497" s="62" t="s">
        <v>21</v>
      </c>
      <c r="E497" s="53">
        <f>SUM(F497:N497)</f>
        <v>5</v>
      </c>
      <c r="F497" s="63"/>
      <c r="G497" s="63"/>
      <c r="H497" s="63">
        <v>1</v>
      </c>
      <c r="I497" s="63">
        <v>2</v>
      </c>
      <c r="J497" s="63">
        <v>2</v>
      </c>
      <c r="K497" s="63"/>
      <c r="L497" s="63"/>
      <c r="M497" s="63"/>
      <c r="N497" s="63"/>
      <c r="O497" s="64" t="s">
        <v>428</v>
      </c>
      <c r="P497" s="56"/>
      <c r="Q497" s="57"/>
      <c r="R497" s="58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</row>
    <row r="498" spans="1:28" ht="14.4" x14ac:dyDescent="0.3">
      <c r="A498" s="50"/>
      <c r="B498" s="61">
        <v>43659</v>
      </c>
      <c r="C498" s="62" t="s">
        <v>80</v>
      </c>
      <c r="D498" s="62" t="s">
        <v>81</v>
      </c>
      <c r="E498" s="53">
        <f>SUM(F498:N498)</f>
        <v>1</v>
      </c>
      <c r="F498" s="63"/>
      <c r="G498" s="63"/>
      <c r="H498" s="63"/>
      <c r="I498" s="63"/>
      <c r="J498" s="63">
        <v>1</v>
      </c>
      <c r="K498" s="63"/>
      <c r="L498" s="63"/>
      <c r="M498" s="63"/>
      <c r="N498" s="63"/>
      <c r="O498" s="64" t="s">
        <v>197</v>
      </c>
      <c r="P498" s="56"/>
      <c r="Q498" s="57"/>
      <c r="R498" s="58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</row>
    <row r="499" spans="1:28" ht="14.4" x14ac:dyDescent="0.3">
      <c r="A499" s="50"/>
      <c r="B499" s="61">
        <v>43659</v>
      </c>
      <c r="C499" s="62" t="s">
        <v>20</v>
      </c>
      <c r="D499" s="62" t="s">
        <v>21</v>
      </c>
      <c r="E499" s="53">
        <f>SUM(F499:N499)</f>
        <v>6</v>
      </c>
      <c r="F499" s="63"/>
      <c r="G499" s="63"/>
      <c r="H499" s="63"/>
      <c r="I499" s="63">
        <v>4</v>
      </c>
      <c r="J499" s="63">
        <v>2</v>
      </c>
      <c r="K499" s="63"/>
      <c r="L499" s="63"/>
      <c r="M499" s="63"/>
      <c r="N499" s="63"/>
      <c r="O499" s="64" t="s">
        <v>429</v>
      </c>
      <c r="P499" s="56"/>
      <c r="Q499" s="57"/>
      <c r="R499" s="58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</row>
    <row r="500" spans="1:28" ht="14.4" x14ac:dyDescent="0.3">
      <c r="A500" s="50"/>
      <c r="B500" s="61">
        <v>43659</v>
      </c>
      <c r="C500" s="62" t="s">
        <v>32</v>
      </c>
      <c r="D500" s="62" t="s">
        <v>33</v>
      </c>
      <c r="E500" s="53">
        <f>SUM(F500:N500)</f>
        <v>5</v>
      </c>
      <c r="F500" s="63"/>
      <c r="G500" s="63">
        <v>2</v>
      </c>
      <c r="H500" s="63"/>
      <c r="I500" s="63"/>
      <c r="J500" s="63">
        <v>3</v>
      </c>
      <c r="K500" s="63"/>
      <c r="L500" s="63"/>
      <c r="M500" s="63"/>
      <c r="N500" s="63"/>
      <c r="O500" s="64" t="s">
        <v>656</v>
      </c>
      <c r="P500" s="56"/>
      <c r="Q500" s="57"/>
      <c r="R500" s="58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</row>
    <row r="501" spans="1:28" ht="14.4" x14ac:dyDescent="0.3">
      <c r="A501" s="50"/>
      <c r="B501" s="61">
        <v>43659</v>
      </c>
      <c r="C501" s="62" t="s">
        <v>106</v>
      </c>
      <c r="D501" s="62" t="s">
        <v>107</v>
      </c>
      <c r="E501" s="53">
        <f>SUM(F501:N501)</f>
        <v>2</v>
      </c>
      <c r="F501" s="63">
        <v>1</v>
      </c>
      <c r="G501" s="63"/>
      <c r="H501" s="63"/>
      <c r="I501" s="63">
        <v>1</v>
      </c>
      <c r="J501" s="63"/>
      <c r="K501" s="63"/>
      <c r="L501" s="63"/>
      <c r="M501" s="63"/>
      <c r="N501" s="63"/>
      <c r="O501" s="64" t="s">
        <v>791</v>
      </c>
      <c r="P501" s="56"/>
      <c r="Q501" s="57"/>
      <c r="R501" s="58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</row>
    <row r="502" spans="1:28" ht="14.4" x14ac:dyDescent="0.3">
      <c r="A502" s="50"/>
      <c r="B502" s="61">
        <v>43660</v>
      </c>
      <c r="C502" s="62" t="s">
        <v>20</v>
      </c>
      <c r="D502" s="62" t="s">
        <v>21</v>
      </c>
      <c r="E502" s="53">
        <f>SUM(F502:N502)</f>
        <v>4</v>
      </c>
      <c r="F502" s="63"/>
      <c r="G502" s="63"/>
      <c r="H502" s="63"/>
      <c r="I502" s="63"/>
      <c r="J502" s="63">
        <v>3</v>
      </c>
      <c r="K502" s="63">
        <v>1</v>
      </c>
      <c r="L502" s="63"/>
      <c r="M502" s="63"/>
      <c r="N502" s="63"/>
      <c r="O502" s="64" t="s">
        <v>430</v>
      </c>
      <c r="P502" s="56"/>
      <c r="Q502" s="57" t="s">
        <v>950</v>
      </c>
      <c r="R502" s="58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</row>
    <row r="503" spans="1:28" ht="14.4" x14ac:dyDescent="0.3">
      <c r="A503" s="50"/>
      <c r="B503" s="61">
        <v>43660</v>
      </c>
      <c r="C503" s="62" t="s">
        <v>23</v>
      </c>
      <c r="D503" s="62" t="s">
        <v>24</v>
      </c>
      <c r="E503" s="53">
        <f>SUM(F503:N503)</f>
        <v>6</v>
      </c>
      <c r="F503" s="63"/>
      <c r="G503" s="63">
        <v>1</v>
      </c>
      <c r="H503" s="63"/>
      <c r="I503" s="63">
        <v>2</v>
      </c>
      <c r="J503" s="63">
        <v>1</v>
      </c>
      <c r="K503" s="63">
        <v>1</v>
      </c>
      <c r="L503" s="63">
        <v>1</v>
      </c>
      <c r="M503" s="63"/>
      <c r="N503" s="63"/>
      <c r="O503" s="64" t="s">
        <v>876</v>
      </c>
      <c r="P503" s="56"/>
      <c r="Q503" s="57" t="s">
        <v>951</v>
      </c>
      <c r="R503" s="58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</row>
    <row r="504" spans="1:28" ht="14.4" x14ac:dyDescent="0.3">
      <c r="A504" s="50"/>
      <c r="B504" s="61">
        <v>43660</v>
      </c>
      <c r="C504" s="62" t="s">
        <v>71</v>
      </c>
      <c r="D504" s="62" t="s">
        <v>72</v>
      </c>
      <c r="E504" s="53">
        <f>SUM(F504:N504)</f>
        <v>1</v>
      </c>
      <c r="F504" s="63"/>
      <c r="G504" s="63"/>
      <c r="H504" s="63"/>
      <c r="I504" s="63"/>
      <c r="J504" s="63">
        <v>1</v>
      </c>
      <c r="K504" s="63"/>
      <c r="L504" s="63"/>
      <c r="M504" s="63"/>
      <c r="N504" s="63"/>
      <c r="O504" s="64" t="s">
        <v>619</v>
      </c>
      <c r="P504" s="56"/>
      <c r="Q504" s="68" t="s">
        <v>952</v>
      </c>
      <c r="R504" s="58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</row>
    <row r="505" spans="1:28" ht="14.4" x14ac:dyDescent="0.3">
      <c r="A505" s="50"/>
      <c r="B505" s="61">
        <v>43662</v>
      </c>
      <c r="C505" s="62" t="s">
        <v>23</v>
      </c>
      <c r="D505" s="62" t="s">
        <v>24</v>
      </c>
      <c r="E505" s="53">
        <f>SUM(F505:N505)</f>
        <v>1</v>
      </c>
      <c r="F505" s="63"/>
      <c r="G505" s="63">
        <v>1</v>
      </c>
      <c r="H505" s="63"/>
      <c r="I505" s="63"/>
      <c r="J505" s="63"/>
      <c r="K505" s="63"/>
      <c r="L505" s="63"/>
      <c r="M505" s="63"/>
      <c r="N505" s="63"/>
      <c r="O505" s="64" t="s">
        <v>877</v>
      </c>
      <c r="P505" s="56"/>
      <c r="Q505" s="57"/>
      <c r="R505" s="58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</row>
    <row r="506" spans="1:28" ht="14.4" x14ac:dyDescent="0.3">
      <c r="A506" s="50"/>
      <c r="B506" s="61">
        <v>43662</v>
      </c>
      <c r="C506" s="62" t="s">
        <v>17</v>
      </c>
      <c r="D506" s="62" t="s">
        <v>18</v>
      </c>
      <c r="E506" s="53">
        <f>SUM(F506:N506)</f>
        <v>7</v>
      </c>
      <c r="F506" s="63"/>
      <c r="G506" s="63">
        <v>2</v>
      </c>
      <c r="H506" s="63">
        <v>2</v>
      </c>
      <c r="I506" s="63"/>
      <c r="J506" s="63">
        <v>2</v>
      </c>
      <c r="K506" s="63">
        <v>1</v>
      </c>
      <c r="L506" s="63"/>
      <c r="M506" s="63"/>
      <c r="N506" s="63"/>
      <c r="O506" s="64" t="s">
        <v>291</v>
      </c>
      <c r="P506" s="56"/>
      <c r="Q506" s="57"/>
      <c r="R506" s="58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</row>
    <row r="507" spans="1:28" ht="14.4" x14ac:dyDescent="0.3">
      <c r="A507" s="50"/>
      <c r="B507" s="61">
        <v>43662</v>
      </c>
      <c r="C507" s="62" t="s">
        <v>80</v>
      </c>
      <c r="D507" s="62" t="s">
        <v>81</v>
      </c>
      <c r="E507" s="53">
        <f>SUM(F507:N507)</f>
        <v>7</v>
      </c>
      <c r="F507" s="63"/>
      <c r="G507" s="63">
        <v>1</v>
      </c>
      <c r="H507" s="63"/>
      <c r="I507" s="63"/>
      <c r="J507" s="63">
        <v>3</v>
      </c>
      <c r="K507" s="63"/>
      <c r="L507" s="63">
        <v>3</v>
      </c>
      <c r="M507" s="63"/>
      <c r="N507" s="63"/>
      <c r="O507" s="64" t="s">
        <v>198</v>
      </c>
      <c r="P507" s="56"/>
      <c r="Q507" s="57"/>
      <c r="R507" s="58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</row>
    <row r="508" spans="1:28" ht="14.4" x14ac:dyDescent="0.3">
      <c r="A508" s="50"/>
      <c r="B508" s="61">
        <v>43663</v>
      </c>
      <c r="C508" s="62" t="s">
        <v>65</v>
      </c>
      <c r="D508" s="62" t="s">
        <v>66</v>
      </c>
      <c r="E508" s="53">
        <f>SUM(F508:N508)</f>
        <v>1</v>
      </c>
      <c r="F508" s="63"/>
      <c r="G508" s="63"/>
      <c r="H508" s="63">
        <v>1</v>
      </c>
      <c r="I508" s="63"/>
      <c r="J508" s="63"/>
      <c r="K508" s="63"/>
      <c r="L508" s="63"/>
      <c r="M508" s="63"/>
      <c r="N508" s="63"/>
      <c r="O508" s="64" t="s">
        <v>777</v>
      </c>
      <c r="P508" s="56"/>
      <c r="Q508" s="57"/>
      <c r="R508" s="58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</row>
    <row r="509" spans="1:28" ht="14.4" x14ac:dyDescent="0.3">
      <c r="A509" s="50"/>
      <c r="B509" s="61">
        <v>43663</v>
      </c>
      <c r="C509" s="62" t="s">
        <v>17</v>
      </c>
      <c r="D509" s="62" t="s">
        <v>18</v>
      </c>
      <c r="E509" s="53">
        <f>SUM(F509:N509)</f>
        <v>4</v>
      </c>
      <c r="F509" s="63"/>
      <c r="G509" s="63"/>
      <c r="H509" s="63"/>
      <c r="I509" s="63"/>
      <c r="J509" s="63">
        <v>4</v>
      </c>
      <c r="K509" s="63"/>
      <c r="L509" s="63"/>
      <c r="M509" s="63"/>
      <c r="N509" s="63"/>
      <c r="O509" s="64" t="s">
        <v>292</v>
      </c>
      <c r="P509" s="56"/>
      <c r="Q509" s="57"/>
      <c r="R509" s="58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</row>
    <row r="510" spans="1:28" ht="14.4" x14ac:dyDescent="0.3">
      <c r="A510" s="50"/>
      <c r="B510" s="61">
        <v>43664</v>
      </c>
      <c r="C510" s="62" t="s">
        <v>17</v>
      </c>
      <c r="D510" s="62" t="s">
        <v>18</v>
      </c>
      <c r="E510" s="53">
        <f>SUM(F510:N510)</f>
        <v>7</v>
      </c>
      <c r="F510" s="63">
        <v>1</v>
      </c>
      <c r="G510" s="63"/>
      <c r="H510" s="63">
        <v>1</v>
      </c>
      <c r="I510" s="63"/>
      <c r="J510" s="63">
        <v>3</v>
      </c>
      <c r="K510" s="63">
        <v>2</v>
      </c>
      <c r="L510" s="63"/>
      <c r="M510" s="63"/>
      <c r="N510" s="63"/>
      <c r="O510" s="64" t="s">
        <v>293</v>
      </c>
      <c r="P510" s="56"/>
      <c r="Q510" s="57"/>
      <c r="R510" s="58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</row>
    <row r="511" spans="1:28" ht="14.4" x14ac:dyDescent="0.3">
      <c r="A511" s="50"/>
      <c r="B511" s="61">
        <v>43664</v>
      </c>
      <c r="C511" s="62" t="s">
        <v>29</v>
      </c>
      <c r="D511" s="62" t="s">
        <v>30</v>
      </c>
      <c r="E511" s="53">
        <f>SUM(F511:N511)</f>
        <v>10</v>
      </c>
      <c r="F511" s="63"/>
      <c r="G511" s="63">
        <v>2</v>
      </c>
      <c r="H511" s="63">
        <v>2</v>
      </c>
      <c r="I511" s="63"/>
      <c r="J511" s="63">
        <v>5</v>
      </c>
      <c r="K511" s="63"/>
      <c r="L511" s="63">
        <v>1</v>
      </c>
      <c r="M511" s="63"/>
      <c r="N511" s="63"/>
      <c r="O511" s="64" t="s">
        <v>729</v>
      </c>
      <c r="P511" s="56"/>
      <c r="Q511" s="57"/>
      <c r="R511" s="58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</row>
    <row r="512" spans="1:28" ht="14.4" x14ac:dyDescent="0.3">
      <c r="A512" s="50"/>
      <c r="B512" s="61">
        <v>43665</v>
      </c>
      <c r="C512" s="62" t="s">
        <v>14</v>
      </c>
      <c r="D512" s="62" t="s">
        <v>15</v>
      </c>
      <c r="E512" s="53">
        <f>SUM(F512:N512)</f>
        <v>8</v>
      </c>
      <c r="F512" s="63"/>
      <c r="G512" s="63"/>
      <c r="H512" s="63">
        <v>1</v>
      </c>
      <c r="I512" s="63"/>
      <c r="J512" s="63">
        <v>6</v>
      </c>
      <c r="K512" s="63">
        <v>1</v>
      </c>
      <c r="L512" s="63"/>
      <c r="M512" s="63"/>
      <c r="N512" s="63"/>
      <c r="O512" s="64" t="s">
        <v>831</v>
      </c>
      <c r="P512" s="56"/>
      <c r="Q512" s="57"/>
      <c r="R512" s="58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</row>
    <row r="513" spans="1:28" ht="14.4" x14ac:dyDescent="0.3">
      <c r="A513" s="50"/>
      <c r="B513" s="61">
        <v>43665</v>
      </c>
      <c r="C513" s="62" t="s">
        <v>29</v>
      </c>
      <c r="D513" s="62" t="s">
        <v>30</v>
      </c>
      <c r="E513" s="53">
        <f>SUM(F513:N513)</f>
        <v>8</v>
      </c>
      <c r="F513" s="63"/>
      <c r="G513" s="63">
        <v>1</v>
      </c>
      <c r="H513" s="63"/>
      <c r="I513" s="63"/>
      <c r="J513" s="63">
        <v>5</v>
      </c>
      <c r="K513" s="63">
        <v>2</v>
      </c>
      <c r="L513" s="63"/>
      <c r="M513" s="63"/>
      <c r="N513" s="63"/>
      <c r="O513" s="64" t="s">
        <v>730</v>
      </c>
      <c r="P513" s="56"/>
      <c r="Q513" s="57"/>
      <c r="R513" s="58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</row>
    <row r="514" spans="1:28" ht="14.4" x14ac:dyDescent="0.3">
      <c r="A514" s="50"/>
      <c r="B514" s="61">
        <v>43666</v>
      </c>
      <c r="C514" s="62" t="s">
        <v>139</v>
      </c>
      <c r="D514" s="62" t="s">
        <v>140</v>
      </c>
      <c r="E514" s="53">
        <f>SUM(F514:N514)</f>
        <v>1</v>
      </c>
      <c r="F514" s="63"/>
      <c r="G514" s="63"/>
      <c r="H514" s="63"/>
      <c r="I514" s="63"/>
      <c r="J514" s="63"/>
      <c r="K514" s="63">
        <v>1</v>
      </c>
      <c r="L514" s="63"/>
      <c r="M514" s="63"/>
      <c r="N514" s="63"/>
      <c r="O514" s="64" t="s">
        <v>189</v>
      </c>
      <c r="P514" s="56"/>
      <c r="Q514" s="57"/>
      <c r="R514" s="58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</row>
    <row r="515" spans="1:28" ht="14.4" x14ac:dyDescent="0.3">
      <c r="A515" s="50"/>
      <c r="B515" s="61">
        <v>43666</v>
      </c>
      <c r="C515" s="62" t="s">
        <v>44</v>
      </c>
      <c r="D515" s="62" t="s">
        <v>45</v>
      </c>
      <c r="E515" s="53">
        <f>SUM(F515:N515)</f>
        <v>2</v>
      </c>
      <c r="F515" s="63"/>
      <c r="G515" s="63"/>
      <c r="H515" s="63">
        <v>1</v>
      </c>
      <c r="I515" s="63"/>
      <c r="J515" s="63">
        <v>1</v>
      </c>
      <c r="K515" s="63"/>
      <c r="L515" s="63"/>
      <c r="M515" s="63"/>
      <c r="N515" s="63"/>
      <c r="O515" s="64" t="s">
        <v>388</v>
      </c>
      <c r="P515" s="56"/>
      <c r="Q515" s="57"/>
      <c r="R515" s="58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</row>
    <row r="516" spans="1:28" ht="14.4" x14ac:dyDescent="0.3">
      <c r="A516" s="50"/>
      <c r="B516" s="61">
        <v>43666</v>
      </c>
      <c r="C516" s="62" t="s">
        <v>14</v>
      </c>
      <c r="D516" s="62" t="s">
        <v>15</v>
      </c>
      <c r="E516" s="53">
        <f>SUM(F516:N516)</f>
        <v>9</v>
      </c>
      <c r="F516" s="63"/>
      <c r="G516" s="63"/>
      <c r="H516" s="63"/>
      <c r="I516" s="63"/>
      <c r="J516" s="63">
        <v>6</v>
      </c>
      <c r="K516" s="63"/>
      <c r="L516" s="63">
        <v>3</v>
      </c>
      <c r="M516" s="63"/>
      <c r="N516" s="63"/>
      <c r="O516" s="64" t="s">
        <v>832</v>
      </c>
      <c r="P516" s="56"/>
      <c r="Q516" s="57"/>
      <c r="R516" s="58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</row>
    <row r="517" spans="1:28" ht="14.4" x14ac:dyDescent="0.3">
      <c r="A517" s="50"/>
      <c r="B517" s="61">
        <v>43666</v>
      </c>
      <c r="C517" s="62" t="s">
        <v>20</v>
      </c>
      <c r="D517" s="62" t="s">
        <v>21</v>
      </c>
      <c r="E517" s="53">
        <f>SUM(F517:N517)</f>
        <v>6</v>
      </c>
      <c r="F517" s="63"/>
      <c r="G517" s="63">
        <v>3</v>
      </c>
      <c r="H517" s="63"/>
      <c r="I517" s="63"/>
      <c r="J517" s="63">
        <v>2</v>
      </c>
      <c r="K517" s="63">
        <v>1</v>
      </c>
      <c r="L517" s="63"/>
      <c r="M517" s="63"/>
      <c r="N517" s="63"/>
      <c r="O517" s="64" t="s">
        <v>431</v>
      </c>
      <c r="P517" s="56"/>
      <c r="Q517" s="73" t="str">
        <f>HYPERLINK("https://mapy.cz/s/3wuvk","https://mapy.cz/s/3wuvk")</f>
        <v>https://mapy.cz/s/3wuvk</v>
      </c>
      <c r="R517" s="58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</row>
    <row r="518" spans="1:28" ht="14.4" x14ac:dyDescent="0.3">
      <c r="A518" s="50"/>
      <c r="B518" s="61">
        <v>43666</v>
      </c>
      <c r="C518" s="62" t="s">
        <v>29</v>
      </c>
      <c r="D518" s="62" t="s">
        <v>30</v>
      </c>
      <c r="E518" s="53">
        <f>SUM(F518:N518)</f>
        <v>9</v>
      </c>
      <c r="F518" s="63"/>
      <c r="G518" s="63">
        <v>1</v>
      </c>
      <c r="H518" s="63">
        <v>2</v>
      </c>
      <c r="I518" s="63"/>
      <c r="J518" s="63">
        <v>6</v>
      </c>
      <c r="K518" s="63"/>
      <c r="L518" s="63"/>
      <c r="M518" s="63"/>
      <c r="N518" s="63"/>
      <c r="O518" s="64" t="s">
        <v>731</v>
      </c>
      <c r="P518" s="56"/>
      <c r="Q518" s="57"/>
      <c r="R518" s="58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</row>
    <row r="519" spans="1:28" ht="14.4" x14ac:dyDescent="0.3">
      <c r="A519" s="50"/>
      <c r="B519" s="61">
        <v>43666</v>
      </c>
      <c r="C519" s="62" t="s">
        <v>38</v>
      </c>
      <c r="D519" s="62" t="s">
        <v>39</v>
      </c>
      <c r="E519" s="53">
        <f>SUM(F519:N519)</f>
        <v>10</v>
      </c>
      <c r="F519" s="63"/>
      <c r="G519" s="63">
        <v>1</v>
      </c>
      <c r="H519" s="63">
        <v>1</v>
      </c>
      <c r="I519" s="63">
        <v>4</v>
      </c>
      <c r="J519" s="63">
        <v>4</v>
      </c>
      <c r="K519" s="63"/>
      <c r="L519" s="63"/>
      <c r="M519" s="63"/>
      <c r="N519" s="63"/>
      <c r="O519" s="64" t="s">
        <v>510</v>
      </c>
      <c r="P519" s="56"/>
      <c r="Q519" s="57"/>
      <c r="R519" s="58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</row>
    <row r="520" spans="1:28" ht="14.4" x14ac:dyDescent="0.3">
      <c r="A520" s="50"/>
      <c r="B520" s="61">
        <v>43667</v>
      </c>
      <c r="C520" s="62" t="s">
        <v>35</v>
      </c>
      <c r="D520" s="62" t="s">
        <v>36</v>
      </c>
      <c r="E520" s="53">
        <f>SUM(F520:N520)</f>
        <v>3</v>
      </c>
      <c r="F520" s="63"/>
      <c r="G520" s="63"/>
      <c r="H520" s="63"/>
      <c r="I520" s="63"/>
      <c r="J520" s="63">
        <v>3</v>
      </c>
      <c r="K520" s="63"/>
      <c r="L520" s="63"/>
      <c r="M520" s="63"/>
      <c r="N520" s="63"/>
      <c r="O520" s="64" t="s">
        <v>474</v>
      </c>
      <c r="P520" s="56"/>
      <c r="Q520" s="57"/>
      <c r="R520" s="58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</row>
    <row r="521" spans="1:28" ht="14.4" x14ac:dyDescent="0.3">
      <c r="A521" s="50"/>
      <c r="B521" s="61">
        <v>43667</v>
      </c>
      <c r="C521" s="62" t="s">
        <v>29</v>
      </c>
      <c r="D521" s="62" t="s">
        <v>30</v>
      </c>
      <c r="E521" s="53">
        <f>SUM(F521:N521)</f>
        <v>6</v>
      </c>
      <c r="F521" s="63"/>
      <c r="G521" s="63"/>
      <c r="H521" s="63">
        <v>3</v>
      </c>
      <c r="I521" s="63"/>
      <c r="J521" s="63">
        <v>2</v>
      </c>
      <c r="K521" s="63">
        <v>1</v>
      </c>
      <c r="L521" s="63"/>
      <c r="M521" s="63"/>
      <c r="N521" s="63"/>
      <c r="O521" s="64" t="s">
        <v>732</v>
      </c>
      <c r="P521" s="56"/>
      <c r="Q521" s="57"/>
      <c r="R521" s="58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</row>
    <row r="522" spans="1:28" ht="14.4" x14ac:dyDescent="0.3">
      <c r="A522" s="50"/>
      <c r="B522" s="61">
        <v>43673</v>
      </c>
      <c r="C522" s="62" t="s">
        <v>94</v>
      </c>
      <c r="D522" s="62" t="s">
        <v>95</v>
      </c>
      <c r="E522" s="53">
        <f>SUM(F522:N522)</f>
        <v>5</v>
      </c>
      <c r="F522" s="63">
        <v>1</v>
      </c>
      <c r="G522" s="63"/>
      <c r="H522" s="63"/>
      <c r="I522" s="63">
        <v>1</v>
      </c>
      <c r="J522" s="63">
        <v>2</v>
      </c>
      <c r="K522" s="63">
        <v>1</v>
      </c>
      <c r="L522" s="63"/>
      <c r="M522" s="63"/>
      <c r="N522" s="63"/>
      <c r="O522" s="64" t="s">
        <v>588</v>
      </c>
      <c r="P522" s="56"/>
      <c r="Q522" s="57"/>
      <c r="R522" s="58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</row>
    <row r="523" spans="1:28" ht="14.4" x14ac:dyDescent="0.3">
      <c r="A523" s="50"/>
      <c r="B523" s="61">
        <v>43674</v>
      </c>
      <c r="C523" s="62" t="s">
        <v>23</v>
      </c>
      <c r="D523" s="62" t="s">
        <v>24</v>
      </c>
      <c r="E523" s="53">
        <f>SUM(F523:N523)</f>
        <v>12</v>
      </c>
      <c r="F523" s="63"/>
      <c r="G523" s="63"/>
      <c r="H523" s="63">
        <v>1</v>
      </c>
      <c r="I523" s="63">
        <v>8</v>
      </c>
      <c r="J523" s="63">
        <v>1</v>
      </c>
      <c r="K523" s="63"/>
      <c r="L523" s="63">
        <v>2</v>
      </c>
      <c r="M523" s="63"/>
      <c r="N523" s="63"/>
      <c r="O523" s="64" t="s">
        <v>878</v>
      </c>
      <c r="P523" s="56"/>
      <c r="Q523" s="57"/>
      <c r="R523" s="58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</row>
    <row r="524" spans="1:28" ht="14.4" x14ac:dyDescent="0.3">
      <c r="A524" s="50"/>
      <c r="B524" s="61">
        <v>43674</v>
      </c>
      <c r="C524" s="62" t="s">
        <v>41</v>
      </c>
      <c r="D524" s="62" t="s">
        <v>42</v>
      </c>
      <c r="E524" s="53">
        <f>SUM(F524:N524)</f>
        <v>8</v>
      </c>
      <c r="F524" s="63"/>
      <c r="G524" s="63">
        <v>1</v>
      </c>
      <c r="H524" s="63"/>
      <c r="I524" s="63"/>
      <c r="J524" s="63">
        <v>6</v>
      </c>
      <c r="K524" s="63">
        <v>1</v>
      </c>
      <c r="L524" s="63"/>
      <c r="M524" s="63"/>
      <c r="N524" s="63"/>
      <c r="O524" s="64" t="s">
        <v>577</v>
      </c>
      <c r="P524" s="56"/>
      <c r="Q524" s="57"/>
      <c r="R524" s="58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</row>
    <row r="525" spans="1:28" ht="14.4" x14ac:dyDescent="0.3">
      <c r="A525" s="50"/>
      <c r="B525" s="61">
        <v>43675</v>
      </c>
      <c r="C525" s="62" t="s">
        <v>68</v>
      </c>
      <c r="D525" s="62" t="s">
        <v>69</v>
      </c>
      <c r="E525" s="53">
        <f>SUM(F525:N525)</f>
        <v>1</v>
      </c>
      <c r="F525" s="63"/>
      <c r="G525" s="63"/>
      <c r="H525" s="63"/>
      <c r="I525" s="63"/>
      <c r="J525" s="63"/>
      <c r="K525" s="63">
        <v>1</v>
      </c>
      <c r="L525" s="63"/>
      <c r="M525" s="63"/>
      <c r="N525" s="63"/>
      <c r="O525" s="64" t="s">
        <v>706</v>
      </c>
      <c r="P525" s="56"/>
      <c r="Q525" s="57"/>
      <c r="R525" s="58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</row>
    <row r="526" spans="1:28" ht="14.4" x14ac:dyDescent="0.3">
      <c r="A526" s="50"/>
      <c r="B526" s="61">
        <v>43675</v>
      </c>
      <c r="C526" s="62" t="s">
        <v>23</v>
      </c>
      <c r="D526" s="62" t="s">
        <v>24</v>
      </c>
      <c r="E526" s="53">
        <f>SUM(F526:N526)</f>
        <v>4</v>
      </c>
      <c r="F526" s="63"/>
      <c r="G526" s="63"/>
      <c r="H526" s="63"/>
      <c r="I526" s="63"/>
      <c r="J526" s="63">
        <v>2</v>
      </c>
      <c r="K526" s="63">
        <v>2</v>
      </c>
      <c r="L526" s="63"/>
      <c r="M526" s="63"/>
      <c r="N526" s="63"/>
      <c r="O526" s="64" t="s">
        <v>879</v>
      </c>
      <c r="P526" s="56"/>
      <c r="Q526" s="57"/>
      <c r="R526" s="58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</row>
    <row r="527" spans="1:28" ht="14.4" x14ac:dyDescent="0.3">
      <c r="A527" s="50"/>
      <c r="B527" s="61">
        <v>43677</v>
      </c>
      <c r="C527" s="62" t="s">
        <v>74</v>
      </c>
      <c r="D527" s="62" t="s">
        <v>75</v>
      </c>
      <c r="E527" s="53">
        <f>SUM(F527:N527)</f>
        <v>1</v>
      </c>
      <c r="F527" s="63"/>
      <c r="G527" s="63"/>
      <c r="H527" s="63"/>
      <c r="I527" s="63"/>
      <c r="J527" s="63">
        <v>1</v>
      </c>
      <c r="K527" s="63"/>
      <c r="L527" s="63"/>
      <c r="M527" s="63"/>
      <c r="N527" s="63"/>
      <c r="O527" s="64" t="s">
        <v>601</v>
      </c>
      <c r="P527" s="56"/>
      <c r="Q527" s="57"/>
      <c r="R527" s="58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</row>
    <row r="528" spans="1:28" ht="14.4" x14ac:dyDescent="0.3">
      <c r="A528" s="50"/>
      <c r="B528" s="61">
        <v>43677</v>
      </c>
      <c r="C528" s="62" t="s">
        <v>35</v>
      </c>
      <c r="D528" s="62" t="s">
        <v>36</v>
      </c>
      <c r="E528" s="53">
        <f>SUM(F528:N528)</f>
        <v>3</v>
      </c>
      <c r="F528" s="63"/>
      <c r="G528" s="63"/>
      <c r="H528" s="63">
        <v>1</v>
      </c>
      <c r="I528" s="63"/>
      <c r="J528" s="63">
        <v>2</v>
      </c>
      <c r="K528" s="63"/>
      <c r="L528" s="63"/>
      <c r="M528" s="63"/>
      <c r="N528" s="63"/>
      <c r="O528" s="64" t="s">
        <v>475</v>
      </c>
      <c r="P528" s="56"/>
      <c r="Q528" s="57"/>
      <c r="R528" s="58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</row>
    <row r="529" spans="1:28" ht="14.4" x14ac:dyDescent="0.3">
      <c r="A529" s="50"/>
      <c r="B529" s="61">
        <v>43677</v>
      </c>
      <c r="C529" s="62" t="s">
        <v>14</v>
      </c>
      <c r="D529" s="62" t="s">
        <v>15</v>
      </c>
      <c r="E529" s="53">
        <f>SUM(F529:N529)</f>
        <v>5</v>
      </c>
      <c r="F529" s="63"/>
      <c r="G529" s="63"/>
      <c r="H529" s="63"/>
      <c r="I529" s="63"/>
      <c r="J529" s="63">
        <v>4</v>
      </c>
      <c r="K529" s="63">
        <v>1</v>
      </c>
      <c r="L529" s="63"/>
      <c r="M529" s="63"/>
      <c r="N529" s="63"/>
      <c r="O529" s="64" t="s">
        <v>833</v>
      </c>
      <c r="P529" s="56"/>
      <c r="Q529" s="57"/>
      <c r="R529" s="58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</row>
    <row r="530" spans="1:28" ht="14.4" x14ac:dyDescent="0.3">
      <c r="A530" s="50"/>
      <c r="B530" s="61">
        <v>43678</v>
      </c>
      <c r="C530" s="62" t="s">
        <v>32</v>
      </c>
      <c r="D530" s="62" t="s">
        <v>33</v>
      </c>
      <c r="E530" s="53">
        <f>SUM(F530:N530)</f>
        <v>6</v>
      </c>
      <c r="F530" s="63"/>
      <c r="G530" s="63"/>
      <c r="H530" s="63"/>
      <c r="I530" s="63">
        <v>1</v>
      </c>
      <c r="J530" s="63">
        <v>3</v>
      </c>
      <c r="K530" s="63">
        <v>1</v>
      </c>
      <c r="L530" s="63">
        <v>1</v>
      </c>
      <c r="M530" s="63"/>
      <c r="N530" s="63"/>
      <c r="O530" s="64" t="s">
        <v>657</v>
      </c>
      <c r="P530" s="56"/>
      <c r="Q530" s="57"/>
      <c r="R530" s="58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</row>
    <row r="531" spans="1:28" ht="14.4" x14ac:dyDescent="0.3">
      <c r="A531" s="50"/>
      <c r="B531" s="61">
        <v>43678</v>
      </c>
      <c r="C531" s="62" t="s">
        <v>56</v>
      </c>
      <c r="D531" s="62" t="s">
        <v>57</v>
      </c>
      <c r="E531" s="53">
        <f>SUM(F531:N531)</f>
        <v>1</v>
      </c>
      <c r="F531" s="63"/>
      <c r="G531" s="63"/>
      <c r="H531" s="63"/>
      <c r="I531" s="63"/>
      <c r="J531" s="63">
        <v>1</v>
      </c>
      <c r="K531" s="63"/>
      <c r="L531" s="63"/>
      <c r="M531" s="63"/>
      <c r="N531" s="63"/>
      <c r="O531" s="64" t="s">
        <v>221</v>
      </c>
      <c r="P531" s="56"/>
      <c r="Q531" s="57"/>
      <c r="R531" s="58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</row>
    <row r="532" spans="1:28" ht="14.4" x14ac:dyDescent="0.3">
      <c r="A532" s="50"/>
      <c r="B532" s="61">
        <v>43679</v>
      </c>
      <c r="C532" s="62" t="s">
        <v>47</v>
      </c>
      <c r="D532" s="62" t="s">
        <v>48</v>
      </c>
      <c r="E532" s="53">
        <f>SUM(F532:N532)</f>
        <v>5</v>
      </c>
      <c r="F532" s="63"/>
      <c r="G532" s="63">
        <v>1</v>
      </c>
      <c r="H532" s="63">
        <v>1</v>
      </c>
      <c r="I532" s="63"/>
      <c r="J532" s="63">
        <v>3</v>
      </c>
      <c r="K532" s="63"/>
      <c r="L532" s="63"/>
      <c r="M532" s="63"/>
      <c r="N532" s="63"/>
      <c r="O532" s="64" t="s">
        <v>350</v>
      </c>
      <c r="P532" s="56"/>
      <c r="Q532" s="74"/>
      <c r="R532" s="58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</row>
    <row r="533" spans="1:28" ht="14.4" x14ac:dyDescent="0.3">
      <c r="A533" s="50"/>
      <c r="B533" s="61">
        <v>43680</v>
      </c>
      <c r="C533" s="62" t="s">
        <v>44</v>
      </c>
      <c r="D533" s="62" t="s">
        <v>45</v>
      </c>
      <c r="E533" s="53">
        <f>SUM(F533:N533)</f>
        <v>4</v>
      </c>
      <c r="F533" s="63"/>
      <c r="G533" s="63"/>
      <c r="H533" s="63"/>
      <c r="I533" s="63"/>
      <c r="J533" s="63">
        <v>4</v>
      </c>
      <c r="K533" s="63"/>
      <c r="L533" s="63"/>
      <c r="M533" s="63"/>
      <c r="N533" s="63"/>
      <c r="O533" s="64" t="s">
        <v>389</v>
      </c>
      <c r="P533" s="56"/>
      <c r="Q533" s="74"/>
      <c r="R533" s="58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</row>
    <row r="534" spans="1:28" ht="14.4" x14ac:dyDescent="0.3">
      <c r="A534" s="50"/>
      <c r="B534" s="61">
        <v>43680</v>
      </c>
      <c r="C534" s="62" t="s">
        <v>92</v>
      </c>
      <c r="D534" s="62" t="s">
        <v>69</v>
      </c>
      <c r="E534" s="53">
        <f>SUM(F534:N534)</f>
        <v>1</v>
      </c>
      <c r="F534" s="63"/>
      <c r="G534" s="63"/>
      <c r="H534" s="63">
        <v>1</v>
      </c>
      <c r="I534" s="63"/>
      <c r="J534" s="63"/>
      <c r="K534" s="63"/>
      <c r="L534" s="63"/>
      <c r="M534" s="63"/>
      <c r="N534" s="63"/>
      <c r="O534" s="64" t="s">
        <v>246</v>
      </c>
      <c r="P534" s="56"/>
      <c r="Q534" s="77" t="s">
        <v>953</v>
      </c>
      <c r="R534" s="58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</row>
    <row r="535" spans="1:28" ht="14.4" x14ac:dyDescent="0.3">
      <c r="A535" s="50"/>
      <c r="B535" s="61">
        <v>43680</v>
      </c>
      <c r="C535" s="62" t="s">
        <v>17</v>
      </c>
      <c r="D535" s="62" t="s">
        <v>18</v>
      </c>
      <c r="E535" s="53">
        <f>SUM(F535:N535)</f>
        <v>3</v>
      </c>
      <c r="F535" s="63"/>
      <c r="G535" s="63"/>
      <c r="H535" s="63"/>
      <c r="I535" s="63"/>
      <c r="J535" s="63">
        <v>1</v>
      </c>
      <c r="K535" s="63">
        <v>2</v>
      </c>
      <c r="L535" s="63"/>
      <c r="M535" s="63"/>
      <c r="N535" s="63"/>
      <c r="O535" s="64" t="s">
        <v>294</v>
      </c>
      <c r="P535" s="56"/>
      <c r="Q535" s="77" t="s">
        <v>954</v>
      </c>
      <c r="R535" s="58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</row>
    <row r="536" spans="1:28" ht="14.4" x14ac:dyDescent="0.3">
      <c r="A536" s="50"/>
      <c r="B536" s="61">
        <v>43680</v>
      </c>
      <c r="C536" s="62" t="s">
        <v>50</v>
      </c>
      <c r="D536" s="62" t="s">
        <v>51</v>
      </c>
      <c r="E536" s="53">
        <f>SUM(F536:N536)</f>
        <v>2</v>
      </c>
      <c r="F536" s="63"/>
      <c r="G536" s="63"/>
      <c r="H536" s="63"/>
      <c r="I536" s="63"/>
      <c r="J536" s="63"/>
      <c r="K536" s="63">
        <v>2</v>
      </c>
      <c r="L536" s="63"/>
      <c r="M536" s="63"/>
      <c r="N536" s="63"/>
      <c r="O536" s="64" t="s">
        <v>764</v>
      </c>
      <c r="P536" s="56"/>
      <c r="Q536" s="57"/>
      <c r="R536" s="58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</row>
    <row r="537" spans="1:28" ht="14.4" x14ac:dyDescent="0.3">
      <c r="A537" s="50"/>
      <c r="B537" s="61">
        <v>43680</v>
      </c>
      <c r="C537" s="62" t="s">
        <v>41</v>
      </c>
      <c r="D537" s="62" t="s">
        <v>42</v>
      </c>
      <c r="E537" s="53">
        <f>SUM(F537:N537)</f>
        <v>6</v>
      </c>
      <c r="F537" s="63"/>
      <c r="G537" s="63"/>
      <c r="H537" s="63"/>
      <c r="I537" s="63"/>
      <c r="J537" s="63">
        <v>5</v>
      </c>
      <c r="K537" s="63">
        <v>1</v>
      </c>
      <c r="L537" s="63"/>
      <c r="M537" s="63"/>
      <c r="N537" s="63"/>
      <c r="O537" s="64" t="s">
        <v>578</v>
      </c>
      <c r="P537" s="56"/>
      <c r="Q537" s="57"/>
      <c r="R537" s="58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</row>
    <row r="538" spans="1:28" ht="14.4" x14ac:dyDescent="0.3">
      <c r="A538" s="50"/>
      <c r="B538" s="61">
        <v>43680</v>
      </c>
      <c r="C538" s="62" t="s">
        <v>148</v>
      </c>
      <c r="D538" s="62" t="s">
        <v>149</v>
      </c>
      <c r="E538" s="53">
        <f>SUM(F538:N538)</f>
        <v>2</v>
      </c>
      <c r="F538" s="63"/>
      <c r="G538" s="63"/>
      <c r="H538" s="63"/>
      <c r="I538" s="63"/>
      <c r="J538" s="63">
        <v>1</v>
      </c>
      <c r="K538" s="63"/>
      <c r="L538" s="63">
        <v>1</v>
      </c>
      <c r="M538" s="63"/>
      <c r="N538" s="63"/>
      <c r="O538" s="64" t="s">
        <v>587</v>
      </c>
      <c r="P538" s="56"/>
      <c r="Q538" s="57"/>
      <c r="R538" s="58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</row>
    <row r="539" spans="1:28" ht="14.4" x14ac:dyDescent="0.3">
      <c r="A539" s="50"/>
      <c r="B539" s="61">
        <v>43680</v>
      </c>
      <c r="C539" s="62" t="s">
        <v>106</v>
      </c>
      <c r="D539" s="62" t="s">
        <v>107</v>
      </c>
      <c r="E539" s="53">
        <f>SUM(F539:N539)</f>
        <v>2</v>
      </c>
      <c r="F539" s="63"/>
      <c r="G539" s="63"/>
      <c r="H539" s="63"/>
      <c r="I539" s="63"/>
      <c r="J539" s="63">
        <v>1</v>
      </c>
      <c r="K539" s="63"/>
      <c r="L539" s="63">
        <v>1</v>
      </c>
      <c r="M539" s="63"/>
      <c r="N539" s="63"/>
      <c r="O539" s="64" t="s">
        <v>587</v>
      </c>
      <c r="P539" s="56"/>
      <c r="Q539" s="57"/>
      <c r="R539" s="58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</row>
    <row r="540" spans="1:28" ht="14.4" x14ac:dyDescent="0.3">
      <c r="A540" s="50"/>
      <c r="B540" s="61">
        <v>43681</v>
      </c>
      <c r="C540" s="62" t="s">
        <v>35</v>
      </c>
      <c r="D540" s="62" t="s">
        <v>36</v>
      </c>
      <c r="E540" s="53">
        <f>SUM(F540:N540)</f>
        <v>2</v>
      </c>
      <c r="F540" s="63"/>
      <c r="G540" s="63"/>
      <c r="H540" s="63"/>
      <c r="I540" s="63"/>
      <c r="J540" s="63">
        <v>1</v>
      </c>
      <c r="K540" s="63">
        <v>1</v>
      </c>
      <c r="L540" s="63"/>
      <c r="M540" s="63"/>
      <c r="N540" s="63"/>
      <c r="O540" s="64" t="s">
        <v>245</v>
      </c>
      <c r="P540" s="56"/>
      <c r="Q540" s="57"/>
      <c r="R540" s="58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</row>
    <row r="541" spans="1:28" ht="14.4" x14ac:dyDescent="0.3">
      <c r="A541" s="50"/>
      <c r="B541" s="61">
        <v>43681</v>
      </c>
      <c r="C541" s="62" t="s">
        <v>20</v>
      </c>
      <c r="D541" s="62" t="s">
        <v>21</v>
      </c>
      <c r="E541" s="53">
        <f>SUM(F541:N541)</f>
        <v>8</v>
      </c>
      <c r="F541" s="63"/>
      <c r="G541" s="63">
        <v>2</v>
      </c>
      <c r="H541" s="63">
        <v>1</v>
      </c>
      <c r="I541" s="63"/>
      <c r="J541" s="63">
        <v>5</v>
      </c>
      <c r="K541" s="63"/>
      <c r="L541" s="63"/>
      <c r="M541" s="63"/>
      <c r="N541" s="63"/>
      <c r="O541" s="64" t="s">
        <v>432</v>
      </c>
      <c r="P541" s="56"/>
      <c r="Q541" s="57"/>
      <c r="R541" s="58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</row>
    <row r="542" spans="1:28" ht="14.4" x14ac:dyDescent="0.3">
      <c r="A542" s="50"/>
      <c r="B542" s="61">
        <v>43681</v>
      </c>
      <c r="C542" s="62" t="s">
        <v>94</v>
      </c>
      <c r="D542" s="62" t="s">
        <v>95</v>
      </c>
      <c r="E542" s="53">
        <f>SUM(F542:N542)</f>
        <v>3</v>
      </c>
      <c r="F542" s="63"/>
      <c r="G542" s="63"/>
      <c r="H542" s="63"/>
      <c r="I542" s="63">
        <v>1</v>
      </c>
      <c r="J542" s="63">
        <v>1</v>
      </c>
      <c r="K542" s="63">
        <v>1</v>
      </c>
      <c r="L542" s="63"/>
      <c r="M542" s="63"/>
      <c r="N542" s="63"/>
      <c r="O542" s="64" t="s">
        <v>589</v>
      </c>
      <c r="P542" s="56"/>
      <c r="Q542" s="57"/>
      <c r="R542" s="58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</row>
    <row r="543" spans="1:28" ht="14.4" x14ac:dyDescent="0.3">
      <c r="A543" s="50"/>
      <c r="B543" s="61">
        <v>43681</v>
      </c>
      <c r="C543" s="62" t="s">
        <v>29</v>
      </c>
      <c r="D543" s="62" t="s">
        <v>30</v>
      </c>
      <c r="E543" s="53">
        <f>SUM(F543:N543)</f>
        <v>9</v>
      </c>
      <c r="F543" s="63"/>
      <c r="G543" s="63"/>
      <c r="H543" s="63">
        <v>1</v>
      </c>
      <c r="I543" s="63">
        <v>7</v>
      </c>
      <c r="J543" s="63">
        <v>1</v>
      </c>
      <c r="K543" s="63"/>
      <c r="L543" s="63"/>
      <c r="M543" s="63"/>
      <c r="N543" s="63"/>
      <c r="O543" s="64" t="s">
        <v>733</v>
      </c>
      <c r="P543" s="56"/>
      <c r="Q543" s="57"/>
      <c r="R543" s="58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</row>
    <row r="544" spans="1:28" ht="14.4" x14ac:dyDescent="0.3">
      <c r="A544" s="50"/>
      <c r="B544" s="61">
        <v>43681</v>
      </c>
      <c r="C544" s="62" t="s">
        <v>14</v>
      </c>
      <c r="D544" s="62" t="s">
        <v>15</v>
      </c>
      <c r="E544" s="53">
        <f>SUM(F544:N544)</f>
        <v>9</v>
      </c>
      <c r="F544" s="63"/>
      <c r="G544" s="63"/>
      <c r="H544" s="63">
        <v>2</v>
      </c>
      <c r="I544" s="63">
        <v>4</v>
      </c>
      <c r="J544" s="63">
        <v>2</v>
      </c>
      <c r="K544" s="63">
        <v>1</v>
      </c>
      <c r="L544" s="63"/>
      <c r="M544" s="63"/>
      <c r="N544" s="63"/>
      <c r="O544" s="64" t="s">
        <v>834</v>
      </c>
      <c r="P544" s="56"/>
      <c r="Q544" s="57"/>
      <c r="R544" s="58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</row>
    <row r="545" spans="1:28" ht="14.4" x14ac:dyDescent="0.3">
      <c r="A545" s="50"/>
      <c r="B545" s="61">
        <v>43681</v>
      </c>
      <c r="C545" s="62" t="s">
        <v>53</v>
      </c>
      <c r="D545" s="62" t="s">
        <v>54</v>
      </c>
      <c r="E545" s="53">
        <f>SUM(F545:N545)</f>
        <v>1</v>
      </c>
      <c r="F545" s="63"/>
      <c r="G545" s="63">
        <v>1</v>
      </c>
      <c r="H545" s="63"/>
      <c r="I545" s="63"/>
      <c r="J545" s="63"/>
      <c r="K545" s="63"/>
      <c r="L545" s="63"/>
      <c r="M545" s="63"/>
      <c r="N545" s="63"/>
      <c r="O545" s="64" t="s">
        <v>358</v>
      </c>
      <c r="P545" s="56"/>
      <c r="Q545" s="57"/>
      <c r="R545" s="58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</row>
    <row r="546" spans="1:28" ht="14.4" x14ac:dyDescent="0.3">
      <c r="A546" s="50"/>
      <c r="B546" s="61">
        <v>43682</v>
      </c>
      <c r="C546" s="62" t="s">
        <v>53</v>
      </c>
      <c r="D546" s="62" t="s">
        <v>54</v>
      </c>
      <c r="E546" s="53">
        <f>SUM(F546:N546)</f>
        <v>8</v>
      </c>
      <c r="F546" s="63"/>
      <c r="G546" s="63">
        <v>2</v>
      </c>
      <c r="H546" s="63">
        <v>1</v>
      </c>
      <c r="I546" s="63">
        <v>1</v>
      </c>
      <c r="J546" s="63">
        <v>2</v>
      </c>
      <c r="K546" s="63">
        <v>1</v>
      </c>
      <c r="L546" s="63">
        <v>1</v>
      </c>
      <c r="M546" s="63"/>
      <c r="N546" s="63"/>
      <c r="O546" s="64" t="s">
        <v>359</v>
      </c>
      <c r="P546" s="56"/>
      <c r="Q546" s="57"/>
      <c r="R546" s="58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</row>
    <row r="547" spans="1:28" ht="14.4" x14ac:dyDescent="0.3">
      <c r="A547" s="50"/>
      <c r="B547" s="61">
        <v>43682</v>
      </c>
      <c r="C547" s="62" t="s">
        <v>29</v>
      </c>
      <c r="D547" s="62" t="s">
        <v>30</v>
      </c>
      <c r="E547" s="53">
        <f>SUM(F547:N547)</f>
        <v>6</v>
      </c>
      <c r="F547" s="63"/>
      <c r="G547" s="63"/>
      <c r="H547" s="63">
        <v>1</v>
      </c>
      <c r="I547" s="63">
        <v>5</v>
      </c>
      <c r="J547" s="63"/>
      <c r="K547" s="63"/>
      <c r="L547" s="63"/>
      <c r="M547" s="63"/>
      <c r="N547" s="63"/>
      <c r="O547" s="64" t="s">
        <v>734</v>
      </c>
      <c r="P547" s="56"/>
      <c r="Q547" s="57"/>
      <c r="R547" s="58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</row>
    <row r="548" spans="1:28" ht="14.4" x14ac:dyDescent="0.3">
      <c r="A548" s="50"/>
      <c r="B548" s="61">
        <v>43683</v>
      </c>
      <c r="C548" s="62" t="s">
        <v>35</v>
      </c>
      <c r="D548" s="62" t="s">
        <v>36</v>
      </c>
      <c r="E548" s="53">
        <f>SUM(F548:N548)</f>
        <v>3</v>
      </c>
      <c r="F548" s="63">
        <v>1</v>
      </c>
      <c r="G548" s="63"/>
      <c r="H548" s="63"/>
      <c r="I548" s="63">
        <v>1</v>
      </c>
      <c r="J548" s="63">
        <v>1</v>
      </c>
      <c r="K548" s="63"/>
      <c r="L548" s="63"/>
      <c r="M548" s="63"/>
      <c r="N548" s="63"/>
      <c r="O548" s="64" t="s">
        <v>476</v>
      </c>
      <c r="P548" s="56"/>
      <c r="Q548" s="57"/>
      <c r="R548" s="58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</row>
    <row r="549" spans="1:28" ht="14.4" x14ac:dyDescent="0.3">
      <c r="A549" s="50"/>
      <c r="B549" s="61">
        <v>43683</v>
      </c>
      <c r="C549" s="62" t="s">
        <v>26</v>
      </c>
      <c r="D549" s="62" t="s">
        <v>27</v>
      </c>
      <c r="E549" s="53">
        <f>SUM(F549:N549)</f>
        <v>7</v>
      </c>
      <c r="F549" s="63"/>
      <c r="G549" s="63"/>
      <c r="H549" s="63">
        <v>1</v>
      </c>
      <c r="I549" s="63">
        <v>5</v>
      </c>
      <c r="J549" s="63">
        <v>1</v>
      </c>
      <c r="K549" s="63"/>
      <c r="L549" s="63"/>
      <c r="M549" s="63"/>
      <c r="N549" s="63"/>
      <c r="O549" s="64" t="s">
        <v>555</v>
      </c>
      <c r="P549" s="56"/>
      <c r="Q549" s="57"/>
      <c r="R549" s="58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</row>
    <row r="550" spans="1:28" ht="14.4" x14ac:dyDescent="0.3">
      <c r="A550" s="50"/>
      <c r="B550" s="61">
        <v>43683</v>
      </c>
      <c r="C550" s="62" t="s">
        <v>29</v>
      </c>
      <c r="D550" s="62" t="s">
        <v>30</v>
      </c>
      <c r="E550" s="53">
        <f>SUM(F550:N550)</f>
        <v>6</v>
      </c>
      <c r="F550" s="63"/>
      <c r="G550" s="63"/>
      <c r="H550" s="63">
        <v>1</v>
      </c>
      <c r="I550" s="63">
        <v>1</v>
      </c>
      <c r="J550" s="63">
        <v>2</v>
      </c>
      <c r="K550" s="63"/>
      <c r="L550" s="63">
        <v>2</v>
      </c>
      <c r="M550" s="63"/>
      <c r="N550" s="63"/>
      <c r="O550" s="64" t="s">
        <v>735</v>
      </c>
      <c r="P550" s="56"/>
      <c r="Q550" s="57"/>
      <c r="R550" s="58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</row>
    <row r="551" spans="1:28" ht="14.4" x14ac:dyDescent="0.3">
      <c r="A551" s="50"/>
      <c r="B551" s="61">
        <v>43684</v>
      </c>
      <c r="C551" s="62" t="s">
        <v>35</v>
      </c>
      <c r="D551" s="62" t="s">
        <v>36</v>
      </c>
      <c r="E551" s="53">
        <f>SUM(F551:N551)</f>
        <v>3</v>
      </c>
      <c r="F551" s="63"/>
      <c r="G551" s="63"/>
      <c r="H551" s="63"/>
      <c r="I551" s="63">
        <v>1</v>
      </c>
      <c r="J551" s="63"/>
      <c r="K551" s="63"/>
      <c r="L551" s="63">
        <v>2</v>
      </c>
      <c r="M551" s="63"/>
      <c r="N551" s="63"/>
      <c r="O551" s="64" t="s">
        <v>477</v>
      </c>
      <c r="P551" s="56"/>
      <c r="Q551" s="57"/>
      <c r="R551" s="58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</row>
    <row r="552" spans="1:28" ht="14.4" x14ac:dyDescent="0.3">
      <c r="A552" s="50"/>
      <c r="B552" s="61">
        <v>43684</v>
      </c>
      <c r="C552" s="62" t="s">
        <v>26</v>
      </c>
      <c r="D552" s="62" t="s">
        <v>27</v>
      </c>
      <c r="E552" s="53">
        <f>SUM(F552:N552)</f>
        <v>14</v>
      </c>
      <c r="F552" s="63"/>
      <c r="G552" s="63">
        <v>1</v>
      </c>
      <c r="H552" s="63"/>
      <c r="I552" s="63">
        <v>10</v>
      </c>
      <c r="J552" s="63">
        <v>2</v>
      </c>
      <c r="K552" s="63"/>
      <c r="L552" s="63">
        <v>1</v>
      </c>
      <c r="M552" s="63"/>
      <c r="N552" s="63"/>
      <c r="O552" s="64" t="s">
        <v>556</v>
      </c>
      <c r="P552" s="56"/>
      <c r="Q552" s="57"/>
      <c r="R552" s="58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</row>
    <row r="553" spans="1:28" ht="14.4" x14ac:dyDescent="0.3">
      <c r="A553" s="50"/>
      <c r="B553" s="61">
        <v>43684</v>
      </c>
      <c r="C553" s="62" t="s">
        <v>17</v>
      </c>
      <c r="D553" s="62" t="s">
        <v>18</v>
      </c>
      <c r="E553" s="53">
        <f>SUM(F553:N553)</f>
        <v>1</v>
      </c>
      <c r="F553" s="63"/>
      <c r="G553" s="63"/>
      <c r="H553" s="63"/>
      <c r="I553" s="63"/>
      <c r="J553" s="63">
        <v>1</v>
      </c>
      <c r="K553" s="63"/>
      <c r="L553" s="63"/>
      <c r="M553" s="63"/>
      <c r="N553" s="63"/>
      <c r="O553" s="64" t="s">
        <v>296</v>
      </c>
      <c r="P553" s="56"/>
      <c r="Q553" s="57"/>
      <c r="R553" s="58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</row>
    <row r="554" spans="1:28" ht="14.4" x14ac:dyDescent="0.3">
      <c r="A554" s="50"/>
      <c r="B554" s="61">
        <v>43684</v>
      </c>
      <c r="C554" s="62" t="s">
        <v>14</v>
      </c>
      <c r="D554" s="62" t="s">
        <v>15</v>
      </c>
      <c r="E554" s="53">
        <f>SUM(F554:N554)</f>
        <v>4</v>
      </c>
      <c r="F554" s="63"/>
      <c r="G554" s="63"/>
      <c r="H554" s="63"/>
      <c r="I554" s="63"/>
      <c r="J554" s="63">
        <v>2</v>
      </c>
      <c r="K554" s="63">
        <v>2</v>
      </c>
      <c r="L554" s="63"/>
      <c r="M554" s="63"/>
      <c r="N554" s="63"/>
      <c r="O554" s="64" t="s">
        <v>835</v>
      </c>
      <c r="P554" s="56"/>
      <c r="Q554" s="57"/>
      <c r="R554" s="58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</row>
    <row r="555" spans="1:28" ht="14.4" x14ac:dyDescent="0.3">
      <c r="A555" s="50"/>
      <c r="B555" s="61">
        <v>43684</v>
      </c>
      <c r="C555" s="62" t="s">
        <v>17</v>
      </c>
      <c r="D555" s="62" t="s">
        <v>18</v>
      </c>
      <c r="E555" s="53">
        <f>SUM(F555:N555)</f>
        <v>4</v>
      </c>
      <c r="F555" s="63"/>
      <c r="G555" s="63">
        <v>1</v>
      </c>
      <c r="H555" s="63">
        <v>1</v>
      </c>
      <c r="I555" s="63"/>
      <c r="J555" s="63">
        <v>2</v>
      </c>
      <c r="K555" s="63"/>
      <c r="L555" s="63"/>
      <c r="M555" s="63"/>
      <c r="N555" s="63"/>
      <c r="O555" s="64" t="s">
        <v>295</v>
      </c>
      <c r="P555" s="56"/>
      <c r="Q555" s="57"/>
      <c r="R555" s="58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</row>
    <row r="556" spans="1:28" ht="14.4" x14ac:dyDescent="0.3">
      <c r="A556" s="50"/>
      <c r="B556" s="61">
        <v>43685</v>
      </c>
      <c r="C556" s="62" t="s">
        <v>68</v>
      </c>
      <c r="D556" s="62" t="s">
        <v>69</v>
      </c>
      <c r="E556" s="53">
        <f>SUM(F556:N556)</f>
        <v>5</v>
      </c>
      <c r="F556" s="63">
        <v>1</v>
      </c>
      <c r="G556" s="63">
        <v>1</v>
      </c>
      <c r="H556" s="63"/>
      <c r="I556" s="63">
        <v>2</v>
      </c>
      <c r="J556" s="63">
        <v>1</v>
      </c>
      <c r="K556" s="63"/>
      <c r="L556" s="63"/>
      <c r="M556" s="63"/>
      <c r="N556" s="63"/>
      <c r="O556" s="64" t="s">
        <v>707</v>
      </c>
      <c r="P556" s="56"/>
      <c r="Q556" s="57"/>
      <c r="R556" s="58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</row>
    <row r="557" spans="1:28" ht="14.4" x14ac:dyDescent="0.3">
      <c r="A557" s="50"/>
      <c r="B557" s="61">
        <v>43685</v>
      </c>
      <c r="C557" s="62" t="s">
        <v>29</v>
      </c>
      <c r="D557" s="62" t="s">
        <v>30</v>
      </c>
      <c r="E557" s="53">
        <f>SUM(F557:N557)</f>
        <v>7</v>
      </c>
      <c r="F557" s="63"/>
      <c r="G557" s="63"/>
      <c r="H557" s="63">
        <v>1</v>
      </c>
      <c r="I557" s="63"/>
      <c r="J557" s="63">
        <v>4</v>
      </c>
      <c r="K557" s="63"/>
      <c r="L557" s="63">
        <v>2</v>
      </c>
      <c r="M557" s="63"/>
      <c r="N557" s="63"/>
      <c r="O557" s="64" t="s">
        <v>736</v>
      </c>
      <c r="P557" s="56"/>
      <c r="Q557" s="57"/>
      <c r="R557" s="58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</row>
    <row r="558" spans="1:28" ht="14.4" x14ac:dyDescent="0.3">
      <c r="A558" s="50"/>
      <c r="B558" s="61">
        <v>43685</v>
      </c>
      <c r="C558" s="62" t="s">
        <v>35</v>
      </c>
      <c r="D558" s="62" t="s">
        <v>36</v>
      </c>
      <c r="E558" s="53">
        <f>SUM(F558:N558)</f>
        <v>2</v>
      </c>
      <c r="F558" s="63"/>
      <c r="G558" s="63"/>
      <c r="H558" s="63"/>
      <c r="I558" s="63">
        <v>2</v>
      </c>
      <c r="J558" s="63"/>
      <c r="K558" s="63"/>
      <c r="L558" s="63"/>
      <c r="M558" s="63"/>
      <c r="N558" s="63"/>
      <c r="O558" s="64" t="s">
        <v>478</v>
      </c>
      <c r="P558" s="56"/>
      <c r="Q558" s="57"/>
      <c r="R558" s="58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</row>
    <row r="559" spans="1:28" ht="14.4" x14ac:dyDescent="0.3">
      <c r="A559" s="50"/>
      <c r="B559" s="61">
        <v>43685</v>
      </c>
      <c r="C559" s="62" t="s">
        <v>103</v>
      </c>
      <c r="D559" s="62" t="s">
        <v>104</v>
      </c>
      <c r="E559" s="53">
        <f>SUM(F559:N559)</f>
        <v>1</v>
      </c>
      <c r="F559" s="63"/>
      <c r="G559" s="63"/>
      <c r="H559" s="63"/>
      <c r="I559" s="63"/>
      <c r="J559" s="63">
        <v>1</v>
      </c>
      <c r="K559" s="63"/>
      <c r="L559" s="63"/>
      <c r="M559" s="63"/>
      <c r="N559" s="63"/>
      <c r="O559" s="64" t="s">
        <v>399</v>
      </c>
      <c r="P559" s="56"/>
      <c r="Q559" s="57"/>
      <c r="R559" s="58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</row>
    <row r="560" spans="1:28" ht="14.4" x14ac:dyDescent="0.3">
      <c r="A560" s="50"/>
      <c r="B560" s="61">
        <v>43685</v>
      </c>
      <c r="C560" s="62" t="s">
        <v>32</v>
      </c>
      <c r="D560" s="62" t="s">
        <v>33</v>
      </c>
      <c r="E560" s="53">
        <f>SUM(F560:N560)</f>
        <v>3</v>
      </c>
      <c r="F560" s="63"/>
      <c r="G560" s="63">
        <v>2</v>
      </c>
      <c r="H560" s="63"/>
      <c r="I560" s="63"/>
      <c r="J560" s="63"/>
      <c r="K560" s="63">
        <v>1</v>
      </c>
      <c r="L560" s="63"/>
      <c r="M560" s="63"/>
      <c r="N560" s="63"/>
      <c r="O560" s="64" t="s">
        <v>658</v>
      </c>
      <c r="P560" s="56"/>
      <c r="Q560" s="57"/>
      <c r="R560" s="58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</row>
    <row r="561" spans="1:28" ht="14.4" x14ac:dyDescent="0.3">
      <c r="A561" s="50"/>
      <c r="B561" s="61">
        <v>43686</v>
      </c>
      <c r="C561" s="62" t="s">
        <v>35</v>
      </c>
      <c r="D561" s="62" t="s">
        <v>36</v>
      </c>
      <c r="E561" s="53">
        <f>SUM(F561:N561)</f>
        <v>7</v>
      </c>
      <c r="F561" s="63"/>
      <c r="G561" s="63"/>
      <c r="H561" s="63"/>
      <c r="I561" s="63">
        <v>7</v>
      </c>
      <c r="J561" s="63"/>
      <c r="K561" s="63"/>
      <c r="L561" s="63"/>
      <c r="M561" s="63"/>
      <c r="N561" s="63"/>
      <c r="O561" s="64" t="s">
        <v>479</v>
      </c>
      <c r="P561" s="56"/>
      <c r="Q561" s="57"/>
      <c r="R561" s="58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</row>
    <row r="562" spans="1:28" ht="14.4" x14ac:dyDescent="0.3">
      <c r="A562" s="50"/>
      <c r="B562" s="61">
        <v>43686</v>
      </c>
      <c r="C562" s="62" t="s">
        <v>68</v>
      </c>
      <c r="D562" s="62" t="s">
        <v>69</v>
      </c>
      <c r="E562" s="53">
        <f>SUM(F562:N562)</f>
        <v>4</v>
      </c>
      <c r="F562" s="63"/>
      <c r="G562" s="63">
        <v>2</v>
      </c>
      <c r="H562" s="63">
        <v>1</v>
      </c>
      <c r="I562" s="63"/>
      <c r="J562" s="63">
        <v>1</v>
      </c>
      <c r="K562" s="63"/>
      <c r="L562" s="63"/>
      <c r="M562" s="63"/>
      <c r="N562" s="63"/>
      <c r="O562" s="64" t="s">
        <v>708</v>
      </c>
      <c r="P562" s="56"/>
      <c r="Q562" s="57"/>
      <c r="R562" s="58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</row>
    <row r="563" spans="1:28" ht="14.4" x14ac:dyDescent="0.3">
      <c r="A563" s="50"/>
      <c r="B563" s="61">
        <v>43687</v>
      </c>
      <c r="C563" s="62" t="s">
        <v>20</v>
      </c>
      <c r="D563" s="62" t="s">
        <v>21</v>
      </c>
      <c r="E563" s="53">
        <f>SUM(F563:N563)</f>
        <v>3</v>
      </c>
      <c r="F563" s="63"/>
      <c r="G563" s="63"/>
      <c r="H563" s="63"/>
      <c r="I563" s="63"/>
      <c r="J563" s="63">
        <v>3</v>
      </c>
      <c r="K563" s="63"/>
      <c r="L563" s="63"/>
      <c r="M563" s="63"/>
      <c r="N563" s="63"/>
      <c r="O563" s="64" t="s">
        <v>433</v>
      </c>
      <c r="P563" s="56"/>
      <c r="Q563" s="57"/>
      <c r="R563" s="58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</row>
    <row r="564" spans="1:28" ht="14.4" x14ac:dyDescent="0.3">
      <c r="A564" s="50"/>
      <c r="B564" s="61">
        <v>43687</v>
      </c>
      <c r="C564" s="62" t="s">
        <v>41</v>
      </c>
      <c r="D564" s="62" t="s">
        <v>42</v>
      </c>
      <c r="E564" s="53">
        <f>SUM(F564:N564)</f>
        <v>2</v>
      </c>
      <c r="F564" s="63"/>
      <c r="G564" s="63"/>
      <c r="H564" s="63"/>
      <c r="I564" s="63"/>
      <c r="J564" s="63">
        <v>2</v>
      </c>
      <c r="K564" s="63"/>
      <c r="L564" s="63"/>
      <c r="M564" s="63"/>
      <c r="N564" s="63"/>
      <c r="O564" s="64" t="s">
        <v>579</v>
      </c>
      <c r="P564" s="56"/>
      <c r="Q564" s="57"/>
      <c r="R564" s="58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</row>
    <row r="565" spans="1:28" ht="14.4" x14ac:dyDescent="0.3">
      <c r="A565" s="50"/>
      <c r="B565" s="61">
        <v>43687</v>
      </c>
      <c r="C565" s="62" t="s">
        <v>92</v>
      </c>
      <c r="D565" s="62" t="s">
        <v>69</v>
      </c>
      <c r="E565" s="53">
        <f>SUM(F565:N565)</f>
        <v>3</v>
      </c>
      <c r="F565" s="63"/>
      <c r="G565" s="63"/>
      <c r="H565" s="63">
        <v>1</v>
      </c>
      <c r="I565" s="63"/>
      <c r="J565" s="63">
        <v>1</v>
      </c>
      <c r="K565" s="63">
        <v>1</v>
      </c>
      <c r="L565" s="63"/>
      <c r="M565" s="63"/>
      <c r="N565" s="63"/>
      <c r="O565" s="64" t="s">
        <v>769</v>
      </c>
      <c r="P565" s="56"/>
      <c r="Q565" s="57"/>
      <c r="R565" s="58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</row>
    <row r="566" spans="1:28" ht="14.4" x14ac:dyDescent="0.3">
      <c r="A566" s="50"/>
      <c r="B566" s="61">
        <v>43688</v>
      </c>
      <c r="C566" s="62" t="s">
        <v>44</v>
      </c>
      <c r="D566" s="62" t="s">
        <v>45</v>
      </c>
      <c r="E566" s="53">
        <f>SUM(F566:N566)</f>
        <v>1</v>
      </c>
      <c r="F566" s="63"/>
      <c r="G566" s="63"/>
      <c r="H566" s="63"/>
      <c r="I566" s="63"/>
      <c r="J566" s="63"/>
      <c r="K566" s="63">
        <v>1</v>
      </c>
      <c r="L566" s="63"/>
      <c r="M566" s="63"/>
      <c r="N566" s="63"/>
      <c r="O566" s="64" t="s">
        <v>189</v>
      </c>
      <c r="P566" s="56"/>
      <c r="Q566" s="57"/>
      <c r="R566" s="58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</row>
    <row r="567" spans="1:28" ht="14.4" x14ac:dyDescent="0.3">
      <c r="A567" s="50"/>
      <c r="B567" s="61">
        <v>43688</v>
      </c>
      <c r="C567" s="62" t="s">
        <v>68</v>
      </c>
      <c r="D567" s="62" t="s">
        <v>69</v>
      </c>
      <c r="E567" s="53">
        <f>SUM(F567:N567)</f>
        <v>4</v>
      </c>
      <c r="F567" s="63"/>
      <c r="G567" s="63"/>
      <c r="H567" s="63">
        <v>1</v>
      </c>
      <c r="I567" s="63">
        <v>1</v>
      </c>
      <c r="J567" s="63">
        <v>1</v>
      </c>
      <c r="K567" s="63">
        <v>1</v>
      </c>
      <c r="L567" s="63"/>
      <c r="M567" s="63"/>
      <c r="N567" s="63"/>
      <c r="O567" s="64" t="s">
        <v>709</v>
      </c>
      <c r="P567" s="56"/>
      <c r="Q567" s="57"/>
      <c r="R567" s="58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</row>
    <row r="568" spans="1:28" ht="14.4" x14ac:dyDescent="0.3">
      <c r="A568" s="50"/>
      <c r="B568" s="61">
        <v>43688</v>
      </c>
      <c r="C568" s="62" t="s">
        <v>20</v>
      </c>
      <c r="D568" s="62" t="s">
        <v>21</v>
      </c>
      <c r="E568" s="53">
        <f>SUM(F568:N568)</f>
        <v>18</v>
      </c>
      <c r="F568" s="63"/>
      <c r="G568" s="63"/>
      <c r="H568" s="63">
        <v>2</v>
      </c>
      <c r="I568" s="63">
        <v>12</v>
      </c>
      <c r="J568" s="63">
        <v>2</v>
      </c>
      <c r="K568" s="63"/>
      <c r="L568" s="63">
        <v>2</v>
      </c>
      <c r="M568" s="63"/>
      <c r="N568" s="63"/>
      <c r="O568" s="64" t="s">
        <v>434</v>
      </c>
      <c r="P568" s="56"/>
      <c r="Q568" s="57"/>
      <c r="R568" s="58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</row>
    <row r="569" spans="1:28" ht="14.4" x14ac:dyDescent="0.3">
      <c r="A569" s="50"/>
      <c r="B569" s="61">
        <v>43688</v>
      </c>
      <c r="C569" s="62" t="s">
        <v>29</v>
      </c>
      <c r="D569" s="62" t="s">
        <v>30</v>
      </c>
      <c r="E569" s="53">
        <f>SUM(F569:N569)</f>
        <v>1</v>
      </c>
      <c r="F569" s="63"/>
      <c r="G569" s="63"/>
      <c r="H569" s="63"/>
      <c r="I569" s="63"/>
      <c r="J569" s="63"/>
      <c r="K569" s="63"/>
      <c r="L569" s="63">
        <v>1</v>
      </c>
      <c r="M569" s="63"/>
      <c r="N569" s="63"/>
      <c r="O569" s="64" t="s">
        <v>737</v>
      </c>
      <c r="P569" s="56"/>
      <c r="Q569" s="57"/>
      <c r="R569" s="58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</row>
    <row r="570" spans="1:28" ht="14.4" x14ac:dyDescent="0.3">
      <c r="A570" s="50"/>
      <c r="B570" s="61">
        <v>43689</v>
      </c>
      <c r="C570" s="62" t="s">
        <v>23</v>
      </c>
      <c r="D570" s="62" t="s">
        <v>24</v>
      </c>
      <c r="E570" s="53">
        <f>SUM(F570:N570)</f>
        <v>11</v>
      </c>
      <c r="F570" s="63"/>
      <c r="G570" s="63"/>
      <c r="H570" s="63">
        <v>1</v>
      </c>
      <c r="I570" s="63">
        <v>5</v>
      </c>
      <c r="J570" s="63">
        <v>2</v>
      </c>
      <c r="K570" s="63">
        <v>1</v>
      </c>
      <c r="L570" s="63">
        <v>1</v>
      </c>
      <c r="M570" s="63"/>
      <c r="N570" s="63">
        <v>1</v>
      </c>
      <c r="O570" s="64" t="s">
        <v>880</v>
      </c>
      <c r="P570" s="56"/>
      <c r="Q570" s="57"/>
      <c r="R570" s="58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</row>
    <row r="571" spans="1:28" ht="14.4" x14ac:dyDescent="0.3">
      <c r="A571" s="50"/>
      <c r="B571" s="61">
        <v>43690</v>
      </c>
      <c r="C571" s="62" t="s">
        <v>71</v>
      </c>
      <c r="D571" s="62" t="s">
        <v>72</v>
      </c>
      <c r="E571" s="53">
        <f>SUM(F571:N571)</f>
        <v>2</v>
      </c>
      <c r="F571" s="63"/>
      <c r="G571" s="63">
        <v>1</v>
      </c>
      <c r="H571" s="63"/>
      <c r="I571" s="63"/>
      <c r="J571" s="63">
        <v>1</v>
      </c>
      <c r="K571" s="63"/>
      <c r="L571" s="63"/>
      <c r="M571" s="63"/>
      <c r="N571" s="63"/>
      <c r="O571" s="64" t="s">
        <v>620</v>
      </c>
      <c r="P571" s="56"/>
      <c r="Q571" s="57"/>
      <c r="R571" s="58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</row>
    <row r="572" spans="1:28" ht="14.4" x14ac:dyDescent="0.3">
      <c r="A572" s="50"/>
      <c r="B572" s="61">
        <v>43690</v>
      </c>
      <c r="C572" s="62" t="s">
        <v>23</v>
      </c>
      <c r="D572" s="62" t="s">
        <v>24</v>
      </c>
      <c r="E572" s="53">
        <f>SUM(F572:N572)</f>
        <v>7</v>
      </c>
      <c r="F572" s="63"/>
      <c r="G572" s="63"/>
      <c r="H572" s="63"/>
      <c r="I572" s="63">
        <v>6</v>
      </c>
      <c r="J572" s="63">
        <v>1</v>
      </c>
      <c r="K572" s="63"/>
      <c r="L572" s="63"/>
      <c r="M572" s="63"/>
      <c r="N572" s="63"/>
      <c r="O572" s="64" t="s">
        <v>881</v>
      </c>
      <c r="P572" s="56"/>
      <c r="Q572" s="57"/>
      <c r="R572" s="58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</row>
    <row r="573" spans="1:28" ht="14.4" x14ac:dyDescent="0.3">
      <c r="A573" s="50"/>
      <c r="B573" s="61">
        <v>43691</v>
      </c>
      <c r="C573" s="62" t="s">
        <v>23</v>
      </c>
      <c r="D573" s="62" t="s">
        <v>24</v>
      </c>
      <c r="E573" s="53">
        <f>SUM(F573:N573)</f>
        <v>8</v>
      </c>
      <c r="F573" s="63"/>
      <c r="G573" s="63"/>
      <c r="H573" s="63"/>
      <c r="I573" s="63">
        <v>1</v>
      </c>
      <c r="J573" s="63">
        <v>4</v>
      </c>
      <c r="K573" s="63">
        <v>2</v>
      </c>
      <c r="L573" s="63">
        <v>1</v>
      </c>
      <c r="M573" s="63"/>
      <c r="N573" s="63"/>
      <c r="O573" s="64" t="s">
        <v>882</v>
      </c>
      <c r="P573" s="56"/>
      <c r="Q573" s="57"/>
      <c r="R573" s="58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</row>
    <row r="574" spans="1:28" ht="14.4" x14ac:dyDescent="0.3">
      <c r="A574" s="50"/>
      <c r="B574" s="61">
        <v>43691</v>
      </c>
      <c r="C574" s="62" t="s">
        <v>124</v>
      </c>
      <c r="D574" s="62" t="s">
        <v>125</v>
      </c>
      <c r="E574" s="53">
        <f>SUM(F574:N574)</f>
        <v>2</v>
      </c>
      <c r="F574" s="63"/>
      <c r="G574" s="63"/>
      <c r="H574" s="63"/>
      <c r="I574" s="63">
        <v>1</v>
      </c>
      <c r="J574" s="63">
        <v>1</v>
      </c>
      <c r="K574" s="63"/>
      <c r="L574" s="63"/>
      <c r="M574" s="63"/>
      <c r="N574" s="63"/>
      <c r="O574" s="64" t="s">
        <v>187</v>
      </c>
      <c r="P574" s="56"/>
      <c r="Q574" s="57"/>
      <c r="R574" s="58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</row>
    <row r="575" spans="1:28" ht="14.4" x14ac:dyDescent="0.3">
      <c r="A575" s="50"/>
      <c r="B575" s="61">
        <v>43692</v>
      </c>
      <c r="C575" s="62" t="s">
        <v>32</v>
      </c>
      <c r="D575" s="62" t="s">
        <v>33</v>
      </c>
      <c r="E575" s="53">
        <f>SUM(F575:N575)</f>
        <v>2</v>
      </c>
      <c r="F575" s="63"/>
      <c r="G575" s="63"/>
      <c r="H575" s="63"/>
      <c r="I575" s="63"/>
      <c r="J575" s="63"/>
      <c r="K575" s="63">
        <v>2</v>
      </c>
      <c r="L575" s="63"/>
      <c r="M575" s="63"/>
      <c r="N575" s="63"/>
      <c r="O575" s="64" t="s">
        <v>659</v>
      </c>
      <c r="P575" s="56"/>
      <c r="Q575" s="57"/>
      <c r="R575" s="58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</row>
    <row r="576" spans="1:28" ht="14.4" x14ac:dyDescent="0.3">
      <c r="A576" s="50"/>
      <c r="B576" s="61">
        <v>43693</v>
      </c>
      <c r="C576" s="62" t="s">
        <v>29</v>
      </c>
      <c r="D576" s="62" t="s">
        <v>30</v>
      </c>
      <c r="E576" s="53">
        <f>SUM(F576:N576)</f>
        <v>4</v>
      </c>
      <c r="F576" s="63"/>
      <c r="G576" s="63"/>
      <c r="H576" s="63"/>
      <c r="I576" s="63"/>
      <c r="J576" s="63">
        <v>2</v>
      </c>
      <c r="K576" s="63">
        <v>2</v>
      </c>
      <c r="L576" s="63"/>
      <c r="M576" s="63"/>
      <c r="N576" s="63"/>
      <c r="O576" s="64" t="s">
        <v>738</v>
      </c>
      <c r="P576" s="56"/>
      <c r="Q576" s="57"/>
      <c r="R576" s="58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</row>
    <row r="577" spans="1:28" ht="14.4" x14ac:dyDescent="0.3">
      <c r="A577" s="50"/>
      <c r="B577" s="61">
        <v>43694</v>
      </c>
      <c r="C577" s="62" t="s">
        <v>62</v>
      </c>
      <c r="D577" s="62" t="s">
        <v>63</v>
      </c>
      <c r="E577" s="53">
        <f>SUM(F577:N577)</f>
        <v>4</v>
      </c>
      <c r="F577" s="63"/>
      <c r="G577" s="63"/>
      <c r="H577" s="63"/>
      <c r="I577" s="63"/>
      <c r="J577" s="63">
        <v>4</v>
      </c>
      <c r="K577" s="63"/>
      <c r="L577" s="63"/>
      <c r="M577" s="63"/>
      <c r="N577" s="63"/>
      <c r="O577" s="64" t="s">
        <v>327</v>
      </c>
      <c r="P577" s="56"/>
      <c r="Q577" s="57"/>
      <c r="R577" s="58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</row>
    <row r="578" spans="1:28" ht="14.4" x14ac:dyDescent="0.3">
      <c r="A578" s="50"/>
      <c r="B578" s="61">
        <v>43694</v>
      </c>
      <c r="C578" s="62" t="s">
        <v>32</v>
      </c>
      <c r="D578" s="62" t="s">
        <v>33</v>
      </c>
      <c r="E578" s="53">
        <f>SUM(F578:N578)</f>
        <v>2</v>
      </c>
      <c r="F578" s="63"/>
      <c r="G578" s="63">
        <v>1</v>
      </c>
      <c r="H578" s="63">
        <v>1</v>
      </c>
      <c r="I578" s="63"/>
      <c r="J578" s="63"/>
      <c r="K578" s="63"/>
      <c r="L578" s="63"/>
      <c r="M578" s="63"/>
      <c r="N578" s="63"/>
      <c r="O578" s="64" t="s">
        <v>660</v>
      </c>
      <c r="P578" s="56"/>
      <c r="Q578" s="57"/>
      <c r="R578" s="58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</row>
    <row r="579" spans="1:28" ht="14.4" x14ac:dyDescent="0.3">
      <c r="A579" s="50"/>
      <c r="B579" s="61">
        <v>43694</v>
      </c>
      <c r="C579" s="62" t="s">
        <v>53</v>
      </c>
      <c r="D579" s="62" t="s">
        <v>54</v>
      </c>
      <c r="E579" s="53">
        <f>SUM(F579:N579)</f>
        <v>2</v>
      </c>
      <c r="F579" s="63"/>
      <c r="G579" s="63">
        <v>1</v>
      </c>
      <c r="H579" s="63"/>
      <c r="I579" s="63"/>
      <c r="J579" s="63"/>
      <c r="K579" s="63">
        <v>1</v>
      </c>
      <c r="L579" s="63"/>
      <c r="M579" s="63"/>
      <c r="N579" s="63"/>
      <c r="O579" s="64" t="s">
        <v>360</v>
      </c>
      <c r="P579" s="56"/>
      <c r="Q579" s="57"/>
      <c r="R579" s="58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 spans="1:28" ht="14.4" x14ac:dyDescent="0.3">
      <c r="A580" s="50"/>
      <c r="B580" s="61">
        <v>43694</v>
      </c>
      <c r="C580" s="62" t="s">
        <v>29</v>
      </c>
      <c r="D580" s="62" t="s">
        <v>30</v>
      </c>
      <c r="E580" s="53">
        <f>SUM(F580:N580)</f>
        <v>7</v>
      </c>
      <c r="F580" s="63"/>
      <c r="G580" s="63">
        <v>1</v>
      </c>
      <c r="H580" s="63"/>
      <c r="I580" s="63">
        <v>4</v>
      </c>
      <c r="J580" s="63">
        <v>1</v>
      </c>
      <c r="K580" s="63"/>
      <c r="L580" s="63">
        <v>1</v>
      </c>
      <c r="M580" s="63"/>
      <c r="N580" s="63"/>
      <c r="O580" s="64" t="s">
        <v>739</v>
      </c>
      <c r="P580" s="56"/>
      <c r="Q580" s="57"/>
      <c r="R580" s="58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</row>
    <row r="581" spans="1:28" ht="14.4" x14ac:dyDescent="0.3">
      <c r="A581" s="50"/>
      <c r="B581" s="61">
        <v>43694</v>
      </c>
      <c r="C581" s="62" t="s">
        <v>44</v>
      </c>
      <c r="D581" s="62" t="s">
        <v>45</v>
      </c>
      <c r="E581" s="53">
        <f>SUM(F581:N581)</f>
        <v>13</v>
      </c>
      <c r="F581" s="63"/>
      <c r="G581" s="63">
        <v>3</v>
      </c>
      <c r="H581" s="63">
        <v>2</v>
      </c>
      <c r="I581" s="63"/>
      <c r="J581" s="63">
        <v>8</v>
      </c>
      <c r="K581" s="63"/>
      <c r="L581" s="63"/>
      <c r="M581" s="63"/>
      <c r="N581" s="63"/>
      <c r="O581" s="64" t="s">
        <v>390</v>
      </c>
      <c r="P581" s="56"/>
      <c r="Q581" s="57"/>
      <c r="R581" s="58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</row>
    <row r="582" spans="1:28" ht="14.4" x14ac:dyDescent="0.3">
      <c r="A582" s="50"/>
      <c r="B582" s="61">
        <v>43694</v>
      </c>
      <c r="C582" s="62" t="s">
        <v>20</v>
      </c>
      <c r="D582" s="62" t="s">
        <v>21</v>
      </c>
      <c r="E582" s="53">
        <f>SUM(F582:N582)</f>
        <v>8</v>
      </c>
      <c r="F582" s="63"/>
      <c r="G582" s="63"/>
      <c r="H582" s="63"/>
      <c r="I582" s="63">
        <v>4</v>
      </c>
      <c r="J582" s="63">
        <v>3</v>
      </c>
      <c r="K582" s="63">
        <v>1</v>
      </c>
      <c r="L582" s="63"/>
      <c r="M582" s="63"/>
      <c r="N582" s="63"/>
      <c r="O582" s="64" t="s">
        <v>435</v>
      </c>
      <c r="P582" s="56"/>
      <c r="Q582" s="57"/>
      <c r="R582" s="58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</row>
    <row r="583" spans="1:28" ht="14.4" x14ac:dyDescent="0.3">
      <c r="A583" s="50"/>
      <c r="B583" s="61">
        <v>43694</v>
      </c>
      <c r="C583" s="62" t="s">
        <v>17</v>
      </c>
      <c r="D583" s="62" t="s">
        <v>18</v>
      </c>
      <c r="E583" s="53">
        <f>SUM(F583:N583)</f>
        <v>1</v>
      </c>
      <c r="F583" s="63"/>
      <c r="G583" s="63">
        <v>1</v>
      </c>
      <c r="H583" s="63"/>
      <c r="I583" s="63"/>
      <c r="J583" s="63"/>
      <c r="K583" s="63"/>
      <c r="L583" s="63"/>
      <c r="M583" s="63"/>
      <c r="N583" s="63"/>
      <c r="O583" s="64" t="s">
        <v>297</v>
      </c>
      <c r="P583" s="56"/>
      <c r="Q583" s="57"/>
      <c r="R583" s="58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</row>
    <row r="584" spans="1:28" ht="14.4" x14ac:dyDescent="0.3">
      <c r="A584" s="50"/>
      <c r="B584" s="61">
        <v>43694</v>
      </c>
      <c r="C584" s="62" t="s">
        <v>65</v>
      </c>
      <c r="D584" s="62" t="s">
        <v>66</v>
      </c>
      <c r="E584" s="53">
        <f>SUM(F584:N584)</f>
        <v>1</v>
      </c>
      <c r="F584" s="63"/>
      <c r="G584" s="63">
        <v>1</v>
      </c>
      <c r="H584" s="63"/>
      <c r="I584" s="63"/>
      <c r="J584" s="63"/>
      <c r="K584" s="63"/>
      <c r="L584" s="63"/>
      <c r="M584" s="63"/>
      <c r="N584" s="63"/>
      <c r="O584" s="64" t="s">
        <v>297</v>
      </c>
      <c r="P584" s="56"/>
      <c r="Q584" s="57"/>
      <c r="R584" s="58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</row>
    <row r="585" spans="1:28" ht="14.4" x14ac:dyDescent="0.3">
      <c r="A585" s="50"/>
      <c r="B585" s="61">
        <v>43694</v>
      </c>
      <c r="C585" s="62" t="s">
        <v>50</v>
      </c>
      <c r="D585" s="62" t="s">
        <v>51</v>
      </c>
      <c r="E585" s="53">
        <f>SUM(F585:N585)</f>
        <v>1</v>
      </c>
      <c r="F585" s="63"/>
      <c r="G585" s="63">
        <v>1</v>
      </c>
      <c r="H585" s="63"/>
      <c r="I585" s="63"/>
      <c r="J585" s="63"/>
      <c r="K585" s="63"/>
      <c r="L585" s="63"/>
      <c r="M585" s="63"/>
      <c r="N585" s="63"/>
      <c r="O585" s="64" t="s">
        <v>297</v>
      </c>
      <c r="P585" s="56"/>
      <c r="Q585" s="57"/>
      <c r="R585" s="58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</row>
    <row r="586" spans="1:28" ht="14.4" x14ac:dyDescent="0.3">
      <c r="A586" s="50"/>
      <c r="B586" s="61">
        <v>43694</v>
      </c>
      <c r="C586" s="62" t="s">
        <v>14</v>
      </c>
      <c r="D586" s="62" t="s">
        <v>15</v>
      </c>
      <c r="E586" s="53">
        <f>SUM(F586:N586)</f>
        <v>7</v>
      </c>
      <c r="F586" s="63"/>
      <c r="G586" s="63">
        <v>2</v>
      </c>
      <c r="H586" s="63"/>
      <c r="I586" s="63">
        <v>4</v>
      </c>
      <c r="J586" s="63"/>
      <c r="K586" s="63"/>
      <c r="L586" s="63">
        <v>1</v>
      </c>
      <c r="M586" s="63"/>
      <c r="N586" s="63"/>
      <c r="O586" s="64" t="s">
        <v>836</v>
      </c>
      <c r="P586" s="56"/>
      <c r="Q586" s="57"/>
      <c r="R586" s="58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</row>
    <row r="587" spans="1:28" ht="14.4" x14ac:dyDescent="0.3">
      <c r="A587" s="50"/>
      <c r="B587" s="61">
        <v>43694</v>
      </c>
      <c r="C587" s="62" t="s">
        <v>41</v>
      </c>
      <c r="D587" s="62" t="s">
        <v>42</v>
      </c>
      <c r="E587" s="53">
        <f>SUM(F587:N587)</f>
        <v>4</v>
      </c>
      <c r="F587" s="63"/>
      <c r="G587" s="63">
        <v>1</v>
      </c>
      <c r="H587" s="63"/>
      <c r="I587" s="63"/>
      <c r="J587" s="63">
        <v>3</v>
      </c>
      <c r="K587" s="63"/>
      <c r="L587" s="63"/>
      <c r="M587" s="63"/>
      <c r="N587" s="63"/>
      <c r="O587" s="64" t="s">
        <v>580</v>
      </c>
      <c r="P587" s="56"/>
      <c r="Q587" s="57"/>
      <c r="R587" s="58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 spans="1:28" ht="14.4" x14ac:dyDescent="0.3">
      <c r="A588" s="50"/>
      <c r="B588" s="61">
        <v>43694</v>
      </c>
      <c r="C588" s="62" t="s">
        <v>23</v>
      </c>
      <c r="D588" s="62" t="s">
        <v>24</v>
      </c>
      <c r="E588" s="53">
        <f>SUM(F588:N588)</f>
        <v>9</v>
      </c>
      <c r="F588" s="63"/>
      <c r="G588" s="63"/>
      <c r="H588" s="63">
        <v>1</v>
      </c>
      <c r="I588" s="63">
        <v>5</v>
      </c>
      <c r="J588" s="63">
        <v>2</v>
      </c>
      <c r="K588" s="63">
        <v>1</v>
      </c>
      <c r="L588" s="63"/>
      <c r="M588" s="63"/>
      <c r="N588" s="63"/>
      <c r="O588" s="64" t="s">
        <v>883</v>
      </c>
      <c r="P588" s="56"/>
      <c r="Q588" s="57"/>
      <c r="R588" s="58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</row>
    <row r="589" spans="1:28" ht="14.4" x14ac:dyDescent="0.3">
      <c r="A589" s="50"/>
      <c r="B589" s="61">
        <v>43695</v>
      </c>
      <c r="C589" s="62" t="s">
        <v>65</v>
      </c>
      <c r="D589" s="62" t="s">
        <v>66</v>
      </c>
      <c r="E589" s="53">
        <f>SUM(F589:N589)</f>
        <v>1</v>
      </c>
      <c r="F589" s="63"/>
      <c r="G589" s="63">
        <v>1</v>
      </c>
      <c r="H589" s="63"/>
      <c r="I589" s="63"/>
      <c r="J589" s="63"/>
      <c r="K589" s="63"/>
      <c r="L589" s="63"/>
      <c r="M589" s="63"/>
      <c r="N589" s="63"/>
      <c r="O589" s="64" t="s">
        <v>778</v>
      </c>
      <c r="P589" s="56"/>
      <c r="Q589" s="57"/>
      <c r="R589" s="58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</row>
    <row r="590" spans="1:28" ht="14.4" x14ac:dyDescent="0.3">
      <c r="A590" s="50"/>
      <c r="B590" s="61">
        <v>43695</v>
      </c>
      <c r="C590" s="62" t="s">
        <v>20</v>
      </c>
      <c r="D590" s="62" t="s">
        <v>21</v>
      </c>
      <c r="E590" s="53">
        <f>SUM(F590:N590)</f>
        <v>5</v>
      </c>
      <c r="F590" s="63"/>
      <c r="G590" s="63">
        <v>1</v>
      </c>
      <c r="H590" s="63"/>
      <c r="I590" s="63"/>
      <c r="J590" s="63">
        <v>4</v>
      </c>
      <c r="K590" s="63"/>
      <c r="L590" s="63"/>
      <c r="M590" s="63"/>
      <c r="N590" s="63"/>
      <c r="O590" s="64" t="s">
        <v>436</v>
      </c>
      <c r="P590" s="56"/>
      <c r="Q590" s="57" t="s">
        <v>955</v>
      </c>
      <c r="R590" s="58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</row>
    <row r="591" spans="1:28" ht="14.4" x14ac:dyDescent="0.3">
      <c r="A591" s="50"/>
      <c r="B591" s="61">
        <v>43695</v>
      </c>
      <c r="C591" s="62" t="s">
        <v>26</v>
      </c>
      <c r="D591" s="62" t="s">
        <v>27</v>
      </c>
      <c r="E591" s="53">
        <f>SUM(F591:N591)</f>
        <v>6</v>
      </c>
      <c r="F591" s="63"/>
      <c r="G591" s="63">
        <v>3</v>
      </c>
      <c r="H591" s="63">
        <v>3</v>
      </c>
      <c r="I591" s="63"/>
      <c r="J591" s="63"/>
      <c r="K591" s="63"/>
      <c r="L591" s="63"/>
      <c r="M591" s="63"/>
      <c r="N591" s="63"/>
      <c r="O591" s="64" t="s">
        <v>557</v>
      </c>
      <c r="P591" s="56"/>
      <c r="Q591" s="57"/>
      <c r="R591" s="58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</row>
    <row r="592" spans="1:28" ht="14.4" x14ac:dyDescent="0.3">
      <c r="A592" s="50"/>
      <c r="B592" s="61">
        <v>43696</v>
      </c>
      <c r="C592" s="62" t="s">
        <v>35</v>
      </c>
      <c r="D592" s="62" t="s">
        <v>36</v>
      </c>
      <c r="E592" s="53">
        <f>SUM(F592:N592)</f>
        <v>7</v>
      </c>
      <c r="F592" s="63"/>
      <c r="G592" s="63">
        <v>4</v>
      </c>
      <c r="H592" s="63"/>
      <c r="I592" s="63"/>
      <c r="J592" s="63">
        <v>3</v>
      </c>
      <c r="K592" s="63"/>
      <c r="L592" s="63"/>
      <c r="M592" s="63"/>
      <c r="N592" s="63"/>
      <c r="O592" s="64" t="s">
        <v>480</v>
      </c>
      <c r="P592" s="56"/>
      <c r="Q592" s="57"/>
      <c r="R592" s="58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</row>
    <row r="593" spans="1:28" ht="14.4" x14ac:dyDescent="0.3">
      <c r="A593" s="50"/>
      <c r="B593" s="61">
        <v>43697</v>
      </c>
      <c r="C593" s="62" t="s">
        <v>23</v>
      </c>
      <c r="D593" s="62" t="s">
        <v>24</v>
      </c>
      <c r="E593" s="53">
        <f>SUM(F593:N593)</f>
        <v>8</v>
      </c>
      <c r="F593" s="63"/>
      <c r="G593" s="63">
        <v>1</v>
      </c>
      <c r="H593" s="63">
        <v>2</v>
      </c>
      <c r="I593" s="63"/>
      <c r="J593" s="63"/>
      <c r="K593" s="63">
        <v>3</v>
      </c>
      <c r="L593" s="63">
        <v>2</v>
      </c>
      <c r="M593" s="63"/>
      <c r="N593" s="63"/>
      <c r="O593" s="64" t="s">
        <v>884</v>
      </c>
      <c r="P593" s="56"/>
      <c r="Q593" s="57"/>
      <c r="R593" s="58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</row>
    <row r="594" spans="1:28" ht="14.4" x14ac:dyDescent="0.3">
      <c r="A594" s="50"/>
      <c r="B594" s="61">
        <v>43699</v>
      </c>
      <c r="C594" s="62" t="s">
        <v>74</v>
      </c>
      <c r="D594" s="62" t="s">
        <v>75</v>
      </c>
      <c r="E594" s="53">
        <f>SUM(F594:N594)</f>
        <v>2</v>
      </c>
      <c r="F594" s="63"/>
      <c r="G594" s="63"/>
      <c r="H594" s="63"/>
      <c r="I594" s="63"/>
      <c r="J594" s="63">
        <v>1</v>
      </c>
      <c r="K594" s="63">
        <v>1</v>
      </c>
      <c r="L594" s="63"/>
      <c r="M594" s="63"/>
      <c r="N594" s="63"/>
      <c r="O594" s="64" t="s">
        <v>602</v>
      </c>
      <c r="P594" s="56"/>
      <c r="Q594" s="57"/>
      <c r="R594" s="58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</row>
    <row r="595" spans="1:28" ht="14.4" x14ac:dyDescent="0.3">
      <c r="A595" s="50"/>
      <c r="B595" s="61">
        <v>43699</v>
      </c>
      <c r="C595" s="62" t="s">
        <v>35</v>
      </c>
      <c r="D595" s="62" t="s">
        <v>36</v>
      </c>
      <c r="E595" s="53">
        <f>SUM(F595:N595)</f>
        <v>9</v>
      </c>
      <c r="F595" s="63"/>
      <c r="G595" s="63">
        <v>3</v>
      </c>
      <c r="H595" s="63"/>
      <c r="I595" s="63"/>
      <c r="J595" s="63">
        <v>5</v>
      </c>
      <c r="K595" s="63">
        <v>1</v>
      </c>
      <c r="L595" s="63"/>
      <c r="M595" s="63"/>
      <c r="N595" s="63"/>
      <c r="O595" s="64" t="s">
        <v>481</v>
      </c>
      <c r="P595" s="56"/>
      <c r="Q595" s="57"/>
      <c r="R595" s="58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</row>
    <row r="596" spans="1:28" ht="14.4" x14ac:dyDescent="0.3">
      <c r="A596" s="50"/>
      <c r="B596" s="61">
        <v>43699</v>
      </c>
      <c r="C596" s="62" t="s">
        <v>53</v>
      </c>
      <c r="D596" s="62" t="s">
        <v>54</v>
      </c>
      <c r="E596" s="53">
        <f>SUM(F596:N596)</f>
        <v>2</v>
      </c>
      <c r="F596" s="63"/>
      <c r="G596" s="63"/>
      <c r="H596" s="63"/>
      <c r="I596" s="63">
        <v>1</v>
      </c>
      <c r="J596" s="63">
        <v>1</v>
      </c>
      <c r="K596" s="63"/>
      <c r="L596" s="63"/>
      <c r="M596" s="63"/>
      <c r="N596" s="63"/>
      <c r="O596" s="64" t="s">
        <v>190</v>
      </c>
      <c r="P596" s="56"/>
      <c r="Q596" s="57"/>
      <c r="R596" s="58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</row>
    <row r="597" spans="1:28" ht="14.4" x14ac:dyDescent="0.3">
      <c r="A597" s="50"/>
      <c r="B597" s="61">
        <v>43700</v>
      </c>
      <c r="C597" s="62" t="s">
        <v>59</v>
      </c>
      <c r="D597" s="62" t="s">
        <v>60</v>
      </c>
      <c r="E597" s="53">
        <f>SUM(F597:N597)</f>
        <v>1</v>
      </c>
      <c r="F597" s="63"/>
      <c r="G597" s="63"/>
      <c r="H597" s="63">
        <v>1</v>
      </c>
      <c r="I597" s="63"/>
      <c r="J597" s="63"/>
      <c r="K597" s="63"/>
      <c r="L597" s="63"/>
      <c r="M597" s="63"/>
      <c r="N597" s="63"/>
      <c r="O597" s="64" t="s">
        <v>246</v>
      </c>
      <c r="P597" s="56"/>
      <c r="Q597" s="57"/>
      <c r="R597" s="58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</row>
    <row r="598" spans="1:28" ht="14.4" x14ac:dyDescent="0.3">
      <c r="A598" s="50"/>
      <c r="B598" s="61">
        <v>43700</v>
      </c>
      <c r="C598" s="62" t="s">
        <v>32</v>
      </c>
      <c r="D598" s="62" t="s">
        <v>33</v>
      </c>
      <c r="E598" s="53">
        <f>SUM(F598:N598)</f>
        <v>3</v>
      </c>
      <c r="F598" s="63"/>
      <c r="G598" s="63"/>
      <c r="H598" s="63">
        <v>1</v>
      </c>
      <c r="I598" s="63"/>
      <c r="J598" s="63">
        <v>1</v>
      </c>
      <c r="K598" s="63">
        <v>1</v>
      </c>
      <c r="L598" s="63"/>
      <c r="M598" s="63"/>
      <c r="N598" s="63"/>
      <c r="O598" s="64" t="s">
        <v>661</v>
      </c>
      <c r="P598" s="56"/>
      <c r="Q598" s="57"/>
      <c r="R598" s="58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</row>
    <row r="599" spans="1:28" ht="14.4" x14ac:dyDescent="0.3">
      <c r="A599" s="50"/>
      <c r="B599" s="61">
        <v>43701</v>
      </c>
      <c r="C599" s="62" t="s">
        <v>53</v>
      </c>
      <c r="D599" s="62" t="s">
        <v>54</v>
      </c>
      <c r="E599" s="53">
        <f>SUM(F599:N599)</f>
        <v>2</v>
      </c>
      <c r="F599" s="63"/>
      <c r="G599" s="63"/>
      <c r="H599" s="63"/>
      <c r="I599" s="63"/>
      <c r="J599" s="63">
        <v>1</v>
      </c>
      <c r="K599" s="63">
        <v>1</v>
      </c>
      <c r="L599" s="63"/>
      <c r="M599" s="63"/>
      <c r="N599" s="63"/>
      <c r="O599" s="64" t="s">
        <v>361</v>
      </c>
      <c r="P599" s="56"/>
      <c r="Q599" s="57"/>
      <c r="R599" s="58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</row>
    <row r="600" spans="1:28" ht="14.4" x14ac:dyDescent="0.3">
      <c r="A600" s="50"/>
      <c r="B600" s="61">
        <v>43702</v>
      </c>
      <c r="C600" s="62" t="s">
        <v>17</v>
      </c>
      <c r="D600" s="62" t="s">
        <v>18</v>
      </c>
      <c r="E600" s="53">
        <f>SUM(F600:N600)</f>
        <v>25</v>
      </c>
      <c r="F600" s="63"/>
      <c r="G600" s="63"/>
      <c r="H600" s="63">
        <v>2</v>
      </c>
      <c r="I600" s="63">
        <v>8</v>
      </c>
      <c r="J600" s="63">
        <v>13</v>
      </c>
      <c r="K600" s="63"/>
      <c r="L600" s="63">
        <v>2</v>
      </c>
      <c r="M600" s="63"/>
      <c r="N600" s="63"/>
      <c r="O600" s="64" t="s">
        <v>298</v>
      </c>
      <c r="P600" s="56"/>
      <c r="Q600" s="57"/>
      <c r="R600" s="58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</row>
    <row r="601" spans="1:28" ht="14.4" x14ac:dyDescent="0.3">
      <c r="A601" s="50"/>
      <c r="B601" s="61">
        <v>43702</v>
      </c>
      <c r="C601" s="62" t="s">
        <v>53</v>
      </c>
      <c r="D601" s="62" t="s">
        <v>54</v>
      </c>
      <c r="E601" s="53">
        <f>SUM(F601:N601)</f>
        <v>3</v>
      </c>
      <c r="F601" s="63"/>
      <c r="G601" s="63"/>
      <c r="H601" s="63"/>
      <c r="I601" s="63"/>
      <c r="J601" s="63">
        <v>2</v>
      </c>
      <c r="K601" s="63">
        <v>1</v>
      </c>
      <c r="L601" s="63"/>
      <c r="M601" s="63"/>
      <c r="N601" s="63"/>
      <c r="O601" s="64" t="s">
        <v>362</v>
      </c>
      <c r="P601" s="56"/>
      <c r="Q601" s="57"/>
      <c r="R601" s="58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</row>
    <row r="602" spans="1:28" ht="14.4" x14ac:dyDescent="0.3">
      <c r="A602" s="50"/>
      <c r="B602" s="61">
        <v>43702</v>
      </c>
      <c r="C602" s="62" t="s">
        <v>71</v>
      </c>
      <c r="D602" s="62" t="s">
        <v>72</v>
      </c>
      <c r="E602" s="53">
        <f>SUM(F602:N602)</f>
        <v>3</v>
      </c>
      <c r="F602" s="63"/>
      <c r="G602" s="63">
        <v>1</v>
      </c>
      <c r="H602" s="63"/>
      <c r="I602" s="63"/>
      <c r="J602" s="63">
        <v>1</v>
      </c>
      <c r="K602" s="63"/>
      <c r="L602" s="63">
        <v>1</v>
      </c>
      <c r="M602" s="63"/>
      <c r="N602" s="63"/>
      <c r="O602" s="64" t="s">
        <v>621</v>
      </c>
      <c r="P602" s="56"/>
      <c r="Q602" s="57"/>
      <c r="R602" s="58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</row>
    <row r="603" spans="1:28" ht="14.4" x14ac:dyDescent="0.3">
      <c r="A603" s="50"/>
      <c r="B603" s="61">
        <v>43703</v>
      </c>
      <c r="C603" s="62" t="s">
        <v>53</v>
      </c>
      <c r="D603" s="62" t="s">
        <v>54</v>
      </c>
      <c r="E603" s="53">
        <f>SUM(F603:N603)</f>
        <v>6</v>
      </c>
      <c r="F603" s="63">
        <v>1</v>
      </c>
      <c r="G603" s="63"/>
      <c r="H603" s="63">
        <v>1</v>
      </c>
      <c r="I603" s="63">
        <v>1</v>
      </c>
      <c r="J603" s="63">
        <v>1</v>
      </c>
      <c r="K603" s="63">
        <v>1</v>
      </c>
      <c r="L603" s="63">
        <v>1</v>
      </c>
      <c r="M603" s="63"/>
      <c r="N603" s="63"/>
      <c r="O603" s="64" t="s">
        <v>363</v>
      </c>
      <c r="P603" s="56"/>
      <c r="Q603" s="57"/>
      <c r="R603" s="58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</row>
    <row r="604" spans="1:28" ht="14.4" x14ac:dyDescent="0.3">
      <c r="A604" s="50"/>
      <c r="B604" s="61">
        <v>43704</v>
      </c>
      <c r="C604" s="62" t="s">
        <v>53</v>
      </c>
      <c r="D604" s="62" t="s">
        <v>54</v>
      </c>
      <c r="E604" s="53">
        <f>SUM(F604:N604)</f>
        <v>3</v>
      </c>
      <c r="F604" s="63"/>
      <c r="G604" s="63"/>
      <c r="H604" s="63"/>
      <c r="I604" s="63">
        <v>1</v>
      </c>
      <c r="J604" s="63">
        <v>1</v>
      </c>
      <c r="K604" s="63"/>
      <c r="L604" s="63">
        <v>1</v>
      </c>
      <c r="M604" s="63"/>
      <c r="N604" s="63"/>
      <c r="O604" s="64" t="s">
        <v>364</v>
      </c>
      <c r="P604" s="56"/>
      <c r="Q604" s="57"/>
      <c r="R604" s="58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</row>
    <row r="605" spans="1:28" ht="14.4" x14ac:dyDescent="0.3">
      <c r="A605" s="50"/>
      <c r="B605" s="61">
        <v>43704</v>
      </c>
      <c r="C605" s="62" t="s">
        <v>20</v>
      </c>
      <c r="D605" s="62" t="s">
        <v>21</v>
      </c>
      <c r="E605" s="53">
        <f>SUM(F605:N605)</f>
        <v>10</v>
      </c>
      <c r="F605" s="63"/>
      <c r="G605" s="63">
        <v>2</v>
      </c>
      <c r="H605" s="63">
        <v>3</v>
      </c>
      <c r="I605" s="63"/>
      <c r="J605" s="63">
        <v>5</v>
      </c>
      <c r="K605" s="63"/>
      <c r="L605" s="63"/>
      <c r="M605" s="63"/>
      <c r="N605" s="63"/>
      <c r="O605" s="64" t="s">
        <v>437</v>
      </c>
      <c r="P605" s="56"/>
      <c r="Q605" s="68" t="s">
        <v>956</v>
      </c>
      <c r="R605" s="58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</row>
    <row r="606" spans="1:28" ht="14.4" x14ac:dyDescent="0.3">
      <c r="A606" s="50"/>
      <c r="B606" s="61">
        <v>43705</v>
      </c>
      <c r="C606" s="62" t="s">
        <v>71</v>
      </c>
      <c r="D606" s="62" t="s">
        <v>72</v>
      </c>
      <c r="E606" s="53">
        <f>SUM(F606:N606)</f>
        <v>1</v>
      </c>
      <c r="F606" s="63"/>
      <c r="G606" s="63">
        <v>1</v>
      </c>
      <c r="H606" s="63"/>
      <c r="I606" s="63"/>
      <c r="J606" s="63"/>
      <c r="K606" s="63"/>
      <c r="L606" s="63"/>
      <c r="M606" s="63"/>
      <c r="N606" s="63"/>
      <c r="O606" s="64" t="s">
        <v>622</v>
      </c>
      <c r="P606" s="56"/>
      <c r="Q606" s="57"/>
      <c r="R606" s="58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</row>
    <row r="607" spans="1:28" ht="14.4" x14ac:dyDescent="0.3">
      <c r="A607" s="50"/>
      <c r="B607" s="61">
        <v>43706</v>
      </c>
      <c r="C607" s="62" t="s">
        <v>56</v>
      </c>
      <c r="D607" s="62" t="s">
        <v>57</v>
      </c>
      <c r="E607" s="53">
        <f>SUM(F607:N607)</f>
        <v>6</v>
      </c>
      <c r="F607" s="63"/>
      <c r="G607" s="63">
        <v>1</v>
      </c>
      <c r="H607" s="63">
        <v>2</v>
      </c>
      <c r="I607" s="63"/>
      <c r="J607" s="63">
        <v>3</v>
      </c>
      <c r="K607" s="63"/>
      <c r="L607" s="63"/>
      <c r="M607" s="63"/>
      <c r="N607" s="63"/>
      <c r="O607" s="64" t="s">
        <v>222</v>
      </c>
      <c r="P607" s="56"/>
      <c r="Q607" s="57"/>
      <c r="R607" s="58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</row>
    <row r="608" spans="1:28" ht="14.4" x14ac:dyDescent="0.3">
      <c r="A608" s="50"/>
      <c r="B608" s="61">
        <v>43706</v>
      </c>
      <c r="C608" s="62" t="s">
        <v>89</v>
      </c>
      <c r="D608" s="62" t="s">
        <v>90</v>
      </c>
      <c r="E608" s="53">
        <f>SUM(F608:N608)</f>
        <v>7</v>
      </c>
      <c r="F608" s="63">
        <v>1</v>
      </c>
      <c r="G608" s="63">
        <v>1</v>
      </c>
      <c r="H608" s="63"/>
      <c r="I608" s="63">
        <v>1</v>
      </c>
      <c r="J608" s="63">
        <v>4</v>
      </c>
      <c r="K608" s="63"/>
      <c r="L608" s="63"/>
      <c r="M608" s="63"/>
      <c r="N608" s="63"/>
      <c r="O608" s="64" t="s">
        <v>679</v>
      </c>
      <c r="P608" s="56"/>
      <c r="Q608" s="57"/>
      <c r="R608" s="58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</row>
    <row r="609" spans="1:28" ht="14.4" x14ac:dyDescent="0.3">
      <c r="A609" s="50"/>
      <c r="B609" s="61">
        <v>43706</v>
      </c>
      <c r="C609" s="62" t="s">
        <v>29</v>
      </c>
      <c r="D609" s="62" t="s">
        <v>30</v>
      </c>
      <c r="E609" s="53">
        <f>SUM(F609:N609)</f>
        <v>7</v>
      </c>
      <c r="F609" s="63"/>
      <c r="G609" s="63"/>
      <c r="H609" s="63"/>
      <c r="I609" s="63"/>
      <c r="J609" s="63">
        <v>6</v>
      </c>
      <c r="K609" s="63"/>
      <c r="L609" s="63">
        <v>1</v>
      </c>
      <c r="M609" s="63"/>
      <c r="N609" s="63"/>
      <c r="O609" s="64" t="s">
        <v>740</v>
      </c>
      <c r="P609" s="56"/>
      <c r="Q609" s="57"/>
      <c r="R609" s="58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</row>
    <row r="610" spans="1:28" ht="14.4" x14ac:dyDescent="0.3">
      <c r="A610" s="50"/>
      <c r="B610" s="61">
        <v>43707</v>
      </c>
      <c r="C610" s="62" t="s">
        <v>89</v>
      </c>
      <c r="D610" s="62" t="s">
        <v>90</v>
      </c>
      <c r="E610" s="53">
        <f>SUM(F610:N610)</f>
        <v>3</v>
      </c>
      <c r="F610" s="63"/>
      <c r="G610" s="63"/>
      <c r="H610" s="63">
        <v>1</v>
      </c>
      <c r="I610" s="63"/>
      <c r="J610" s="63">
        <v>2</v>
      </c>
      <c r="K610" s="63"/>
      <c r="L610" s="63"/>
      <c r="M610" s="63"/>
      <c r="N610" s="63"/>
      <c r="O610" s="64" t="s">
        <v>680</v>
      </c>
      <c r="P610" s="56"/>
      <c r="Q610" s="57"/>
      <c r="R610" s="58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</row>
    <row r="611" spans="1:28" ht="14.4" x14ac:dyDescent="0.3">
      <c r="A611" s="50"/>
      <c r="B611" s="61">
        <v>43707</v>
      </c>
      <c r="C611" s="62" t="s">
        <v>71</v>
      </c>
      <c r="D611" s="62" t="s">
        <v>72</v>
      </c>
      <c r="E611" s="53">
        <f>SUM(F611:N611)</f>
        <v>3</v>
      </c>
      <c r="F611" s="63"/>
      <c r="G611" s="63"/>
      <c r="H611" s="63"/>
      <c r="I611" s="63"/>
      <c r="J611" s="63">
        <v>2</v>
      </c>
      <c r="K611" s="63">
        <v>1</v>
      </c>
      <c r="L611" s="63"/>
      <c r="M611" s="63"/>
      <c r="N611" s="63"/>
      <c r="O611" s="64" t="s">
        <v>623</v>
      </c>
      <c r="P611" s="56"/>
      <c r="Q611" s="57"/>
      <c r="R611" s="58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</row>
    <row r="612" spans="1:28" ht="14.4" x14ac:dyDescent="0.3">
      <c r="A612" s="50"/>
      <c r="B612" s="61">
        <v>43707</v>
      </c>
      <c r="C612" s="62" t="s">
        <v>14</v>
      </c>
      <c r="D612" s="62" t="s">
        <v>15</v>
      </c>
      <c r="E612" s="53">
        <f>SUM(F612:N612)</f>
        <v>8</v>
      </c>
      <c r="F612" s="63"/>
      <c r="G612" s="63">
        <v>1</v>
      </c>
      <c r="H612" s="63"/>
      <c r="I612" s="63">
        <v>1</v>
      </c>
      <c r="J612" s="63">
        <v>3</v>
      </c>
      <c r="K612" s="63"/>
      <c r="L612" s="63">
        <v>3</v>
      </c>
      <c r="M612" s="63"/>
      <c r="N612" s="63"/>
      <c r="O612" s="64" t="s">
        <v>837</v>
      </c>
      <c r="P612" s="56"/>
      <c r="Q612" s="57"/>
      <c r="R612" s="58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</row>
    <row r="613" spans="1:28" ht="14.4" x14ac:dyDescent="0.3">
      <c r="A613" s="50"/>
      <c r="B613" s="61">
        <v>43708</v>
      </c>
      <c r="C613" s="62" t="s">
        <v>20</v>
      </c>
      <c r="D613" s="62" t="s">
        <v>21</v>
      </c>
      <c r="E613" s="53">
        <f>SUM(F613:N613)</f>
        <v>2</v>
      </c>
      <c r="F613" s="63"/>
      <c r="G613" s="63">
        <v>1</v>
      </c>
      <c r="H613" s="63"/>
      <c r="I613" s="63"/>
      <c r="J613" s="63"/>
      <c r="K613" s="63"/>
      <c r="L613" s="63">
        <v>1</v>
      </c>
      <c r="M613" s="63"/>
      <c r="N613" s="63"/>
      <c r="O613" s="64" t="s">
        <v>438</v>
      </c>
      <c r="P613" s="56"/>
      <c r="Q613" s="68" t="s">
        <v>957</v>
      </c>
      <c r="R613" s="58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</row>
    <row r="614" spans="1:28" ht="14.4" x14ac:dyDescent="0.3">
      <c r="A614" s="50"/>
      <c r="B614" s="61">
        <v>43708</v>
      </c>
      <c r="C614" s="62" t="s">
        <v>118</v>
      </c>
      <c r="D614" s="62" t="s">
        <v>119</v>
      </c>
      <c r="E614" s="53">
        <f>SUM(F614:N614)</f>
        <v>2</v>
      </c>
      <c r="F614" s="63"/>
      <c r="G614" s="63">
        <v>1</v>
      </c>
      <c r="H614" s="63"/>
      <c r="I614" s="63"/>
      <c r="J614" s="63"/>
      <c r="K614" s="63"/>
      <c r="L614" s="63">
        <v>1</v>
      </c>
      <c r="M614" s="63"/>
      <c r="N614" s="63"/>
      <c r="O614" s="64" t="s">
        <v>438</v>
      </c>
      <c r="P614" s="56"/>
      <c r="Q614" s="57"/>
      <c r="R614" s="58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</row>
    <row r="615" spans="1:28" ht="14.4" x14ac:dyDescent="0.3">
      <c r="A615" s="50"/>
      <c r="B615" s="61">
        <v>43708</v>
      </c>
      <c r="C615" s="62" t="s">
        <v>94</v>
      </c>
      <c r="D615" s="62" t="s">
        <v>95</v>
      </c>
      <c r="E615" s="53">
        <f>SUM(F615:N615)</f>
        <v>2</v>
      </c>
      <c r="F615" s="63"/>
      <c r="G615" s="63"/>
      <c r="H615" s="63"/>
      <c r="I615" s="63"/>
      <c r="J615" s="63">
        <v>1</v>
      </c>
      <c r="K615" s="63"/>
      <c r="L615" s="63"/>
      <c r="M615" s="63"/>
      <c r="N615" s="63">
        <v>1</v>
      </c>
      <c r="O615" s="64" t="s">
        <v>224</v>
      </c>
      <c r="P615" s="56"/>
      <c r="Q615" s="57"/>
      <c r="R615" s="58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</row>
    <row r="616" spans="1:28" ht="14.4" x14ac:dyDescent="0.3">
      <c r="A616" s="50"/>
      <c r="B616" s="61">
        <v>43708</v>
      </c>
      <c r="C616" s="62" t="s">
        <v>38</v>
      </c>
      <c r="D616" s="62" t="s">
        <v>39</v>
      </c>
      <c r="E616" s="53">
        <f>SUM(F616:N616)</f>
        <v>12</v>
      </c>
      <c r="F616" s="63">
        <v>1</v>
      </c>
      <c r="G616" s="63"/>
      <c r="H616" s="63"/>
      <c r="I616" s="63">
        <v>6</v>
      </c>
      <c r="J616" s="63">
        <v>3</v>
      </c>
      <c r="K616" s="63">
        <v>2</v>
      </c>
      <c r="L616" s="63"/>
      <c r="M616" s="63"/>
      <c r="N616" s="63"/>
      <c r="O616" s="64" t="s">
        <v>511</v>
      </c>
      <c r="P616" s="56"/>
      <c r="Q616" s="57"/>
      <c r="R616" s="58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</row>
    <row r="617" spans="1:28" ht="14.4" x14ac:dyDescent="0.3">
      <c r="A617" s="50"/>
      <c r="B617" s="61">
        <v>43708</v>
      </c>
      <c r="C617" s="62" t="s">
        <v>35</v>
      </c>
      <c r="D617" s="62" t="s">
        <v>36</v>
      </c>
      <c r="E617" s="53">
        <f>SUM(F617:N617)</f>
        <v>1</v>
      </c>
      <c r="F617" s="63"/>
      <c r="G617" s="63"/>
      <c r="H617" s="63"/>
      <c r="I617" s="63"/>
      <c r="J617" s="63">
        <v>1</v>
      </c>
      <c r="K617" s="63"/>
      <c r="L617" s="63"/>
      <c r="M617" s="63"/>
      <c r="N617" s="63"/>
      <c r="O617" s="64" t="s">
        <v>250</v>
      </c>
      <c r="P617" s="56"/>
      <c r="Q617" s="57"/>
      <c r="R617" s="58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</row>
    <row r="618" spans="1:28" ht="14.4" x14ac:dyDescent="0.3">
      <c r="A618" s="50"/>
      <c r="B618" s="61">
        <v>43708</v>
      </c>
      <c r="C618" s="62" t="s">
        <v>71</v>
      </c>
      <c r="D618" s="62" t="s">
        <v>72</v>
      </c>
      <c r="E618" s="53">
        <f>SUM(F618:N618)</f>
        <v>1</v>
      </c>
      <c r="F618" s="63"/>
      <c r="G618" s="63"/>
      <c r="H618" s="63"/>
      <c r="I618" s="63"/>
      <c r="J618" s="63">
        <v>1</v>
      </c>
      <c r="K618" s="63"/>
      <c r="L618" s="63"/>
      <c r="M618" s="63"/>
      <c r="N618" s="63"/>
      <c r="O618" s="64" t="s">
        <v>624</v>
      </c>
      <c r="P618" s="56"/>
      <c r="Q618" s="57"/>
      <c r="R618" s="58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</row>
    <row r="619" spans="1:28" ht="14.4" x14ac:dyDescent="0.3">
      <c r="A619" s="50"/>
      <c r="B619" s="61">
        <v>43708</v>
      </c>
      <c r="C619" s="62" t="s">
        <v>29</v>
      </c>
      <c r="D619" s="62" t="s">
        <v>30</v>
      </c>
      <c r="E619" s="53">
        <f>SUM(F619:N619)</f>
        <v>3</v>
      </c>
      <c r="F619" s="63"/>
      <c r="G619" s="63"/>
      <c r="H619" s="63"/>
      <c r="I619" s="63">
        <v>2</v>
      </c>
      <c r="J619" s="63">
        <v>1</v>
      </c>
      <c r="K619" s="63"/>
      <c r="L619" s="63"/>
      <c r="M619" s="63"/>
      <c r="N619" s="63"/>
      <c r="O619" s="64" t="s">
        <v>741</v>
      </c>
      <c r="P619" s="56"/>
      <c r="Q619" s="57"/>
      <c r="R619" s="58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</row>
    <row r="620" spans="1:28" ht="14.4" x14ac:dyDescent="0.3">
      <c r="A620" s="50"/>
      <c r="B620" s="61">
        <v>43709</v>
      </c>
      <c r="C620" s="62" t="s">
        <v>17</v>
      </c>
      <c r="D620" s="62" t="s">
        <v>18</v>
      </c>
      <c r="E620" s="53">
        <f>SUM(F620:N620)</f>
        <v>1</v>
      </c>
      <c r="F620" s="63"/>
      <c r="G620" s="63">
        <v>1</v>
      </c>
      <c r="H620" s="63"/>
      <c r="I620" s="63"/>
      <c r="J620" s="63"/>
      <c r="K620" s="63"/>
      <c r="L620" s="63"/>
      <c r="M620" s="63"/>
      <c r="N620" s="63"/>
      <c r="O620" s="64" t="s">
        <v>299</v>
      </c>
      <c r="P620" s="56"/>
      <c r="Q620" s="57"/>
      <c r="R620" s="58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</row>
    <row r="621" spans="1:28" ht="14.4" x14ac:dyDescent="0.3">
      <c r="A621" s="50"/>
      <c r="B621" s="61">
        <v>43709</v>
      </c>
      <c r="C621" s="62" t="s">
        <v>65</v>
      </c>
      <c r="D621" s="62" t="s">
        <v>66</v>
      </c>
      <c r="E621" s="53">
        <f>SUM(F621:N621)</f>
        <v>1</v>
      </c>
      <c r="F621" s="63"/>
      <c r="G621" s="63">
        <v>1</v>
      </c>
      <c r="H621" s="63"/>
      <c r="I621" s="63"/>
      <c r="J621" s="63"/>
      <c r="K621" s="63"/>
      <c r="L621" s="63"/>
      <c r="M621" s="63"/>
      <c r="N621" s="63"/>
      <c r="O621" s="64" t="s">
        <v>779</v>
      </c>
      <c r="P621" s="56"/>
      <c r="Q621" s="57"/>
      <c r="R621" s="58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</row>
    <row r="622" spans="1:28" ht="14.4" x14ac:dyDescent="0.3">
      <c r="A622" s="50"/>
      <c r="B622" s="61">
        <v>43709</v>
      </c>
      <c r="C622" s="62" t="s">
        <v>20</v>
      </c>
      <c r="D622" s="62" t="s">
        <v>21</v>
      </c>
      <c r="E622" s="53">
        <f>SUM(F622:N622)</f>
        <v>6</v>
      </c>
      <c r="F622" s="63"/>
      <c r="G622" s="63">
        <v>1</v>
      </c>
      <c r="H622" s="63"/>
      <c r="I622" s="63"/>
      <c r="J622" s="63">
        <v>5</v>
      </c>
      <c r="K622" s="63"/>
      <c r="L622" s="63"/>
      <c r="M622" s="63"/>
      <c r="N622" s="63"/>
      <c r="O622" s="64" t="s">
        <v>439</v>
      </c>
      <c r="P622" s="56"/>
      <c r="Q622" s="57"/>
      <c r="R622" s="58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</row>
    <row r="623" spans="1:28" ht="14.4" x14ac:dyDescent="0.3">
      <c r="A623" s="50"/>
      <c r="B623" s="61">
        <v>43709</v>
      </c>
      <c r="C623" s="62" t="s">
        <v>14</v>
      </c>
      <c r="D623" s="62" t="s">
        <v>15</v>
      </c>
      <c r="E623" s="53">
        <f>SUM(F623:N623)</f>
        <v>8</v>
      </c>
      <c r="F623" s="63"/>
      <c r="G623" s="63">
        <v>3</v>
      </c>
      <c r="H623" s="63">
        <v>1</v>
      </c>
      <c r="I623" s="63"/>
      <c r="J623" s="63">
        <v>1</v>
      </c>
      <c r="K623" s="63">
        <v>2</v>
      </c>
      <c r="L623" s="63">
        <v>1</v>
      </c>
      <c r="M623" s="63"/>
      <c r="N623" s="63"/>
      <c r="O623" s="64" t="s">
        <v>839</v>
      </c>
      <c r="P623" s="56"/>
      <c r="Q623" s="57"/>
      <c r="R623" s="58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</row>
    <row r="624" spans="1:28" ht="14.4" x14ac:dyDescent="0.3">
      <c r="A624" s="50"/>
      <c r="B624" s="61">
        <v>43709</v>
      </c>
      <c r="C624" s="62" t="s">
        <v>14</v>
      </c>
      <c r="D624" s="62" t="s">
        <v>15</v>
      </c>
      <c r="E624" s="53">
        <f>SUM(F624:N624)</f>
        <v>10</v>
      </c>
      <c r="F624" s="63"/>
      <c r="G624" s="63">
        <v>1</v>
      </c>
      <c r="H624" s="63">
        <v>1</v>
      </c>
      <c r="I624" s="63"/>
      <c r="J624" s="63">
        <v>6</v>
      </c>
      <c r="K624" s="63">
        <v>1</v>
      </c>
      <c r="L624" s="63"/>
      <c r="M624" s="63">
        <v>1</v>
      </c>
      <c r="N624" s="63"/>
      <c r="O624" s="64" t="s">
        <v>838</v>
      </c>
      <c r="P624" s="56"/>
      <c r="Q624" s="57"/>
      <c r="R624" s="58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</row>
    <row r="625" spans="1:28" ht="14.4" x14ac:dyDescent="0.3">
      <c r="A625" s="50"/>
      <c r="B625" s="61">
        <v>43709</v>
      </c>
      <c r="C625" s="62" t="s">
        <v>53</v>
      </c>
      <c r="D625" s="62" t="s">
        <v>54</v>
      </c>
      <c r="E625" s="53">
        <f>SUM(F625:N625)</f>
        <v>4</v>
      </c>
      <c r="F625" s="63"/>
      <c r="G625" s="63"/>
      <c r="H625" s="63">
        <v>1</v>
      </c>
      <c r="I625" s="63"/>
      <c r="J625" s="63">
        <v>3</v>
      </c>
      <c r="K625" s="63"/>
      <c r="L625" s="63"/>
      <c r="M625" s="63"/>
      <c r="N625" s="63"/>
      <c r="O625" s="64" t="s">
        <v>365</v>
      </c>
      <c r="P625" s="56"/>
      <c r="Q625" s="57"/>
      <c r="R625" s="58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</row>
    <row r="626" spans="1:28" ht="14.4" x14ac:dyDescent="0.3">
      <c r="A626" s="50"/>
      <c r="B626" s="61">
        <v>43710</v>
      </c>
      <c r="C626" s="62" t="s">
        <v>20</v>
      </c>
      <c r="D626" s="62" t="s">
        <v>21</v>
      </c>
      <c r="E626" s="53">
        <f>SUM(F626:N626)</f>
        <v>6</v>
      </c>
      <c r="F626" s="63"/>
      <c r="G626" s="63">
        <v>2</v>
      </c>
      <c r="H626" s="63"/>
      <c r="I626" s="63"/>
      <c r="J626" s="63">
        <v>4</v>
      </c>
      <c r="K626" s="63"/>
      <c r="L626" s="63"/>
      <c r="M626" s="63"/>
      <c r="N626" s="63"/>
      <c r="O626" s="64" t="s">
        <v>440</v>
      </c>
      <c r="P626" s="56"/>
      <c r="Q626" s="68" t="s">
        <v>958</v>
      </c>
      <c r="R626" s="58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</row>
    <row r="627" spans="1:28" ht="14.4" x14ac:dyDescent="0.3">
      <c r="A627" s="50"/>
      <c r="B627" s="61">
        <v>43710</v>
      </c>
      <c r="C627" s="62" t="s">
        <v>14</v>
      </c>
      <c r="D627" s="62" t="s">
        <v>15</v>
      </c>
      <c r="E627" s="53">
        <f>SUM(F627:N627)</f>
        <v>13</v>
      </c>
      <c r="F627" s="63">
        <v>1</v>
      </c>
      <c r="G627" s="63">
        <v>2</v>
      </c>
      <c r="H627" s="63">
        <v>2</v>
      </c>
      <c r="I627" s="63"/>
      <c r="J627" s="63">
        <v>6</v>
      </c>
      <c r="K627" s="63">
        <v>2</v>
      </c>
      <c r="L627" s="63"/>
      <c r="M627" s="63"/>
      <c r="N627" s="63"/>
      <c r="O627" s="64" t="s">
        <v>840</v>
      </c>
      <c r="P627" s="56"/>
      <c r="Q627" s="57"/>
      <c r="R627" s="58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</row>
    <row r="628" spans="1:28" ht="14.4" x14ac:dyDescent="0.3">
      <c r="A628" s="50"/>
      <c r="B628" s="61">
        <v>43711</v>
      </c>
      <c r="C628" s="62" t="s">
        <v>17</v>
      </c>
      <c r="D628" s="62" t="s">
        <v>18</v>
      </c>
      <c r="E628" s="53">
        <f>SUM(F628:N628)</f>
        <v>4</v>
      </c>
      <c r="F628" s="63"/>
      <c r="G628" s="63"/>
      <c r="H628" s="63">
        <v>1</v>
      </c>
      <c r="I628" s="63"/>
      <c r="J628" s="63">
        <v>3</v>
      </c>
      <c r="K628" s="63"/>
      <c r="L628" s="63"/>
      <c r="M628" s="63"/>
      <c r="N628" s="63"/>
      <c r="O628" s="64" t="s">
        <v>300</v>
      </c>
      <c r="P628" s="56"/>
      <c r="Q628" s="57"/>
      <c r="R628" s="58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</row>
    <row r="629" spans="1:28" ht="14.4" x14ac:dyDescent="0.3">
      <c r="A629" s="50"/>
      <c r="B629" s="61">
        <v>43711</v>
      </c>
      <c r="C629" s="62" t="s">
        <v>65</v>
      </c>
      <c r="D629" s="62" t="s">
        <v>66</v>
      </c>
      <c r="E629" s="53">
        <f>SUM(F629:N629)</f>
        <v>6</v>
      </c>
      <c r="F629" s="63"/>
      <c r="G629" s="63">
        <v>1</v>
      </c>
      <c r="H629" s="63">
        <v>1</v>
      </c>
      <c r="I629" s="63"/>
      <c r="J629" s="63">
        <v>4</v>
      </c>
      <c r="K629" s="63"/>
      <c r="L629" s="63"/>
      <c r="M629" s="63"/>
      <c r="N629" s="63"/>
      <c r="O629" s="64" t="s">
        <v>780</v>
      </c>
      <c r="P629" s="56"/>
      <c r="Q629" s="57"/>
      <c r="R629" s="58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</row>
    <row r="630" spans="1:28" ht="14.4" x14ac:dyDescent="0.3">
      <c r="A630" s="50"/>
      <c r="B630" s="61">
        <v>43711</v>
      </c>
      <c r="C630" s="62" t="s">
        <v>20</v>
      </c>
      <c r="D630" s="62" t="s">
        <v>21</v>
      </c>
      <c r="E630" s="53">
        <f>SUM(F630:N630)</f>
        <v>5</v>
      </c>
      <c r="F630" s="63"/>
      <c r="G630" s="63">
        <v>1</v>
      </c>
      <c r="H630" s="63">
        <v>3</v>
      </c>
      <c r="I630" s="63"/>
      <c r="J630" s="63">
        <v>1</v>
      </c>
      <c r="K630" s="63"/>
      <c r="L630" s="63"/>
      <c r="M630" s="63"/>
      <c r="N630" s="63"/>
      <c r="O630" s="64" t="s">
        <v>441</v>
      </c>
      <c r="P630" s="56"/>
      <c r="Q630" s="68" t="s">
        <v>959</v>
      </c>
      <c r="R630" s="58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</row>
    <row r="631" spans="1:28" ht="14.4" x14ac:dyDescent="0.3">
      <c r="A631" s="50"/>
      <c r="B631" s="61">
        <v>43712</v>
      </c>
      <c r="C631" s="62" t="s">
        <v>20</v>
      </c>
      <c r="D631" s="62" t="s">
        <v>21</v>
      </c>
      <c r="E631" s="53">
        <f>SUM(F631:N631)</f>
        <v>7</v>
      </c>
      <c r="F631" s="63"/>
      <c r="G631" s="63">
        <v>1</v>
      </c>
      <c r="H631" s="63">
        <v>1</v>
      </c>
      <c r="I631" s="63"/>
      <c r="J631" s="63">
        <v>4</v>
      </c>
      <c r="K631" s="63">
        <v>1</v>
      </c>
      <c r="L631" s="63"/>
      <c r="M631" s="63"/>
      <c r="N631" s="63"/>
      <c r="O631" s="64" t="s">
        <v>442</v>
      </c>
      <c r="P631" s="56"/>
      <c r="Q631" s="68" t="s">
        <v>960</v>
      </c>
      <c r="R631" s="58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</row>
    <row r="632" spans="1:28" ht="14.4" x14ac:dyDescent="0.3">
      <c r="A632" s="50"/>
      <c r="B632" s="61">
        <v>43713</v>
      </c>
      <c r="C632" s="62" t="s">
        <v>94</v>
      </c>
      <c r="D632" s="62" t="s">
        <v>95</v>
      </c>
      <c r="E632" s="53">
        <f>SUM(F632:N632)</f>
        <v>1</v>
      </c>
      <c r="F632" s="63"/>
      <c r="G632" s="63">
        <v>1</v>
      </c>
      <c r="H632" s="63"/>
      <c r="I632" s="63"/>
      <c r="J632" s="63"/>
      <c r="K632" s="63"/>
      <c r="L632" s="63"/>
      <c r="M632" s="63"/>
      <c r="N632" s="63"/>
      <c r="O632" s="64" t="s">
        <v>590</v>
      </c>
      <c r="P632" s="56"/>
      <c r="Q632" s="57"/>
      <c r="R632" s="58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</row>
    <row r="633" spans="1:28" ht="14.4" x14ac:dyDescent="0.3">
      <c r="A633" s="50"/>
      <c r="B633" s="61">
        <v>43713</v>
      </c>
      <c r="C633" s="62" t="s">
        <v>20</v>
      </c>
      <c r="D633" s="62" t="s">
        <v>21</v>
      </c>
      <c r="E633" s="53">
        <f>SUM(F633:N633)</f>
        <v>3</v>
      </c>
      <c r="F633" s="63"/>
      <c r="G633" s="63"/>
      <c r="H633" s="63">
        <v>1</v>
      </c>
      <c r="I633" s="63"/>
      <c r="J633" s="63">
        <v>2</v>
      </c>
      <c r="K633" s="63"/>
      <c r="L633" s="63"/>
      <c r="M633" s="63"/>
      <c r="N633" s="63"/>
      <c r="O633" s="64" t="s">
        <v>443</v>
      </c>
      <c r="P633" s="56"/>
      <c r="Q633" s="68" t="s">
        <v>961</v>
      </c>
      <c r="R633" s="58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</row>
    <row r="634" spans="1:28" ht="14.4" x14ac:dyDescent="0.3">
      <c r="A634" s="50"/>
      <c r="B634" s="61">
        <v>43713</v>
      </c>
      <c r="C634" s="62" t="s">
        <v>32</v>
      </c>
      <c r="D634" s="62" t="s">
        <v>33</v>
      </c>
      <c r="E634" s="53">
        <f>SUM(F634:N634)</f>
        <v>2</v>
      </c>
      <c r="F634" s="63"/>
      <c r="G634" s="63"/>
      <c r="H634" s="63"/>
      <c r="I634" s="63"/>
      <c r="J634" s="63">
        <v>2</v>
      </c>
      <c r="K634" s="63"/>
      <c r="L634" s="63"/>
      <c r="M634" s="63"/>
      <c r="N634" s="63"/>
      <c r="O634" s="64" t="s">
        <v>662</v>
      </c>
      <c r="P634" s="56"/>
      <c r="Q634" s="57"/>
      <c r="R634" s="58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</row>
    <row r="635" spans="1:28" ht="14.4" x14ac:dyDescent="0.3">
      <c r="A635" s="50"/>
      <c r="B635" s="61">
        <v>43714</v>
      </c>
      <c r="C635" s="62" t="s">
        <v>44</v>
      </c>
      <c r="D635" s="62" t="s">
        <v>45</v>
      </c>
      <c r="E635" s="53">
        <f>SUM(F635:N635)</f>
        <v>6</v>
      </c>
      <c r="F635" s="63"/>
      <c r="G635" s="63"/>
      <c r="H635" s="63"/>
      <c r="I635" s="63"/>
      <c r="J635" s="63">
        <v>6</v>
      </c>
      <c r="K635" s="63"/>
      <c r="L635" s="63"/>
      <c r="M635" s="63"/>
      <c r="N635" s="63"/>
      <c r="O635" s="64" t="s">
        <v>391</v>
      </c>
      <c r="P635" s="56"/>
      <c r="Q635" s="57"/>
      <c r="R635" s="58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</row>
    <row r="636" spans="1:28" ht="14.4" x14ac:dyDescent="0.3">
      <c r="A636" s="50"/>
      <c r="B636" s="61">
        <v>43714</v>
      </c>
      <c r="C636" s="62" t="s">
        <v>23</v>
      </c>
      <c r="D636" s="62" t="s">
        <v>24</v>
      </c>
      <c r="E636" s="53">
        <f>SUM(F636:N636)</f>
        <v>10</v>
      </c>
      <c r="F636" s="63"/>
      <c r="G636" s="63">
        <v>1</v>
      </c>
      <c r="H636" s="63"/>
      <c r="I636" s="63"/>
      <c r="J636" s="63">
        <v>6</v>
      </c>
      <c r="K636" s="63">
        <v>3</v>
      </c>
      <c r="L636" s="63"/>
      <c r="M636" s="63"/>
      <c r="N636" s="63"/>
      <c r="O636" s="64" t="s">
        <v>885</v>
      </c>
      <c r="P636" s="56"/>
      <c r="Q636" s="57"/>
      <c r="R636" s="58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</row>
    <row r="637" spans="1:28" ht="14.4" x14ac:dyDescent="0.3">
      <c r="A637" s="50"/>
      <c r="B637" s="61">
        <v>43715</v>
      </c>
      <c r="C637" s="62" t="s">
        <v>74</v>
      </c>
      <c r="D637" s="62" t="s">
        <v>75</v>
      </c>
      <c r="E637" s="53">
        <f>SUM(F637:N637)</f>
        <v>3</v>
      </c>
      <c r="F637" s="63"/>
      <c r="G637" s="63"/>
      <c r="H637" s="63"/>
      <c r="I637" s="63"/>
      <c r="J637" s="63">
        <v>2</v>
      </c>
      <c r="K637" s="63">
        <v>1</v>
      </c>
      <c r="L637" s="63"/>
      <c r="M637" s="63"/>
      <c r="N637" s="63"/>
      <c r="O637" s="64" t="s">
        <v>603</v>
      </c>
      <c r="P637" s="56"/>
      <c r="Q637" s="57"/>
      <c r="R637" s="58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</row>
    <row r="638" spans="1:28" ht="14.4" x14ac:dyDescent="0.3">
      <c r="A638" s="50"/>
      <c r="B638" s="61">
        <v>43715</v>
      </c>
      <c r="C638" s="62" t="s">
        <v>53</v>
      </c>
      <c r="D638" s="62" t="s">
        <v>54</v>
      </c>
      <c r="E638" s="53">
        <f>SUM(F638:N638)</f>
        <v>1</v>
      </c>
      <c r="F638" s="63"/>
      <c r="G638" s="63"/>
      <c r="H638" s="63">
        <v>1</v>
      </c>
      <c r="I638" s="63"/>
      <c r="J638" s="63"/>
      <c r="K638" s="63"/>
      <c r="L638" s="63"/>
      <c r="M638" s="63"/>
      <c r="N638" s="63"/>
      <c r="O638" s="64" t="s">
        <v>366</v>
      </c>
      <c r="P638" s="56"/>
      <c r="Q638" s="57"/>
      <c r="R638" s="58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</row>
    <row r="639" spans="1:28" ht="14.4" x14ac:dyDescent="0.3">
      <c r="A639" s="50"/>
      <c r="B639" s="61">
        <v>43715</v>
      </c>
      <c r="C639" s="62" t="s">
        <v>23</v>
      </c>
      <c r="D639" s="62" t="s">
        <v>24</v>
      </c>
      <c r="E639" s="53">
        <f>SUM(F639:N639)</f>
        <v>7</v>
      </c>
      <c r="F639" s="63"/>
      <c r="G639" s="63"/>
      <c r="H639" s="63">
        <v>1</v>
      </c>
      <c r="I639" s="63">
        <v>4</v>
      </c>
      <c r="J639" s="63">
        <v>2</v>
      </c>
      <c r="K639" s="63"/>
      <c r="L639" s="63"/>
      <c r="M639" s="63"/>
      <c r="N639" s="63"/>
      <c r="O639" s="64" t="s">
        <v>886</v>
      </c>
      <c r="P639" s="56"/>
      <c r="Q639" s="57"/>
      <c r="R639" s="58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</row>
    <row r="640" spans="1:28" ht="14.4" x14ac:dyDescent="0.3">
      <c r="A640" s="50"/>
      <c r="B640" s="61">
        <v>43716</v>
      </c>
      <c r="C640" s="62" t="s">
        <v>74</v>
      </c>
      <c r="D640" s="62" t="s">
        <v>75</v>
      </c>
      <c r="E640" s="53">
        <f>SUM(F640:N640)</f>
        <v>3</v>
      </c>
      <c r="F640" s="63"/>
      <c r="G640" s="63"/>
      <c r="H640" s="63">
        <v>1</v>
      </c>
      <c r="I640" s="63"/>
      <c r="J640" s="63">
        <v>1</v>
      </c>
      <c r="K640" s="63">
        <v>1</v>
      </c>
      <c r="L640" s="63"/>
      <c r="M640" s="63"/>
      <c r="N640" s="63"/>
      <c r="O640" s="64" t="s">
        <v>604</v>
      </c>
      <c r="P640" s="56"/>
      <c r="Q640" s="57"/>
      <c r="R640" s="58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</row>
    <row r="641" spans="1:28" ht="14.4" x14ac:dyDescent="0.3">
      <c r="A641" s="50"/>
      <c r="B641" s="61">
        <v>43716</v>
      </c>
      <c r="C641" s="62" t="s">
        <v>29</v>
      </c>
      <c r="D641" s="62" t="s">
        <v>30</v>
      </c>
      <c r="E641" s="53">
        <f>SUM(F641:N641)</f>
        <v>1</v>
      </c>
      <c r="F641" s="63"/>
      <c r="G641" s="63"/>
      <c r="H641" s="63"/>
      <c r="I641" s="63"/>
      <c r="J641" s="63">
        <v>1</v>
      </c>
      <c r="K641" s="63"/>
      <c r="L641" s="63"/>
      <c r="M641" s="63"/>
      <c r="N641" s="63"/>
      <c r="O641" s="64" t="s">
        <v>742</v>
      </c>
      <c r="P641" s="56"/>
      <c r="Q641" s="57"/>
      <c r="R641" s="58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</row>
    <row r="642" spans="1:28" ht="14.4" x14ac:dyDescent="0.3">
      <c r="A642" s="50"/>
      <c r="B642" s="61">
        <v>43716</v>
      </c>
      <c r="C642" s="62" t="s">
        <v>94</v>
      </c>
      <c r="D642" s="62" t="s">
        <v>95</v>
      </c>
      <c r="E642" s="53">
        <f>SUM(F642:N642)</f>
        <v>1</v>
      </c>
      <c r="F642" s="63"/>
      <c r="G642" s="63">
        <v>1</v>
      </c>
      <c r="H642" s="63"/>
      <c r="I642" s="63"/>
      <c r="J642" s="63"/>
      <c r="K642" s="63"/>
      <c r="L642" s="63"/>
      <c r="M642" s="63"/>
      <c r="N642" s="63"/>
      <c r="O642" s="64" t="s">
        <v>591</v>
      </c>
      <c r="P642" s="56"/>
      <c r="Q642" s="57"/>
      <c r="R642" s="58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</row>
    <row r="643" spans="1:28" ht="14.4" x14ac:dyDescent="0.3">
      <c r="A643" s="50"/>
      <c r="B643" s="61">
        <v>43716</v>
      </c>
      <c r="C643" s="62" t="s">
        <v>71</v>
      </c>
      <c r="D643" s="62" t="s">
        <v>72</v>
      </c>
      <c r="E643" s="53">
        <f>SUM(F643:N643)</f>
        <v>1</v>
      </c>
      <c r="F643" s="63"/>
      <c r="G643" s="63"/>
      <c r="H643" s="63"/>
      <c r="I643" s="63"/>
      <c r="J643" s="63">
        <v>1</v>
      </c>
      <c r="K643" s="63"/>
      <c r="L643" s="63"/>
      <c r="M643" s="63"/>
      <c r="N643" s="63"/>
      <c r="O643" s="64" t="s">
        <v>625</v>
      </c>
      <c r="P643" s="56"/>
      <c r="Q643" s="57"/>
      <c r="R643" s="58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</row>
    <row r="644" spans="1:28" ht="14.4" x14ac:dyDescent="0.3">
      <c r="A644" s="50"/>
      <c r="B644" s="61">
        <v>43716</v>
      </c>
      <c r="C644" s="62" t="s">
        <v>20</v>
      </c>
      <c r="D644" s="62" t="s">
        <v>21</v>
      </c>
      <c r="E644" s="53">
        <f>SUM(F644:N644)</f>
        <v>4</v>
      </c>
      <c r="F644" s="63"/>
      <c r="G644" s="63"/>
      <c r="H644" s="63">
        <v>1</v>
      </c>
      <c r="I644" s="63"/>
      <c r="J644" s="63">
        <v>3</v>
      </c>
      <c r="K644" s="63"/>
      <c r="L644" s="63"/>
      <c r="M644" s="63"/>
      <c r="N644" s="63"/>
      <c r="O644" s="64" t="s">
        <v>444</v>
      </c>
      <c r="P644" s="56"/>
      <c r="Q644" s="57"/>
      <c r="R644" s="58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</row>
    <row r="645" spans="1:28" ht="14.4" x14ac:dyDescent="0.3">
      <c r="A645" s="50"/>
      <c r="B645" s="61">
        <v>43716</v>
      </c>
      <c r="C645" s="62" t="s">
        <v>23</v>
      </c>
      <c r="D645" s="62" t="s">
        <v>24</v>
      </c>
      <c r="E645" s="53">
        <f>SUM(F645:N645)</f>
        <v>7</v>
      </c>
      <c r="F645" s="63"/>
      <c r="G645" s="63">
        <v>1</v>
      </c>
      <c r="H645" s="63"/>
      <c r="I645" s="63">
        <v>2</v>
      </c>
      <c r="J645" s="63">
        <v>3</v>
      </c>
      <c r="K645" s="63">
        <v>1</v>
      </c>
      <c r="L645" s="63"/>
      <c r="M645" s="63"/>
      <c r="N645" s="63"/>
      <c r="O645" s="64" t="s">
        <v>887</v>
      </c>
      <c r="P645" s="56"/>
      <c r="Q645" s="57"/>
      <c r="R645" s="58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</row>
    <row r="646" spans="1:28" ht="14.4" x14ac:dyDescent="0.3">
      <c r="A646" s="50"/>
      <c r="B646" s="61">
        <v>43716</v>
      </c>
      <c r="C646" s="62" t="s">
        <v>41</v>
      </c>
      <c r="D646" s="62" t="s">
        <v>42</v>
      </c>
      <c r="E646" s="53">
        <f>SUM(F646:N646)</f>
        <v>6</v>
      </c>
      <c r="F646" s="63"/>
      <c r="G646" s="63"/>
      <c r="H646" s="63"/>
      <c r="I646" s="63"/>
      <c r="J646" s="63">
        <v>6</v>
      </c>
      <c r="K646" s="63"/>
      <c r="L646" s="63"/>
      <c r="M646" s="63"/>
      <c r="N646" s="63"/>
      <c r="O646" s="64" t="s">
        <v>581</v>
      </c>
      <c r="P646" s="56"/>
      <c r="Q646" s="57"/>
      <c r="R646" s="58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</row>
    <row r="647" spans="1:28" ht="14.4" x14ac:dyDescent="0.3">
      <c r="A647" s="50"/>
      <c r="B647" s="61">
        <v>43718</v>
      </c>
      <c r="C647" s="62" t="s">
        <v>17</v>
      </c>
      <c r="D647" s="62" t="s">
        <v>18</v>
      </c>
      <c r="E647" s="53">
        <f>SUM(F647:N647)</f>
        <v>1</v>
      </c>
      <c r="F647" s="63"/>
      <c r="G647" s="63"/>
      <c r="H647" s="63"/>
      <c r="I647" s="63"/>
      <c r="J647" s="63">
        <v>1</v>
      </c>
      <c r="K647" s="63"/>
      <c r="L647" s="63"/>
      <c r="M647" s="63"/>
      <c r="N647" s="63"/>
      <c r="O647" s="64" t="s">
        <v>301</v>
      </c>
      <c r="P647" s="56"/>
      <c r="Q647" s="57"/>
      <c r="R647" s="58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</row>
    <row r="648" spans="1:28" ht="14.4" x14ac:dyDescent="0.3">
      <c r="A648" s="50"/>
      <c r="B648" s="61">
        <v>43718</v>
      </c>
      <c r="C648" s="62" t="s">
        <v>26</v>
      </c>
      <c r="D648" s="62" t="s">
        <v>27</v>
      </c>
      <c r="E648" s="53">
        <f>SUM(F648:N648)</f>
        <v>1</v>
      </c>
      <c r="F648" s="63"/>
      <c r="G648" s="63"/>
      <c r="H648" s="63"/>
      <c r="I648" s="63"/>
      <c r="J648" s="63">
        <v>1</v>
      </c>
      <c r="K648" s="63"/>
      <c r="L648" s="63"/>
      <c r="M648" s="63"/>
      <c r="N648" s="63"/>
      <c r="O648" s="64" t="s">
        <v>558</v>
      </c>
      <c r="P648" s="56"/>
      <c r="Q648" s="57"/>
      <c r="R648" s="58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</row>
    <row r="649" spans="1:28" ht="14.4" x14ac:dyDescent="0.3">
      <c r="A649" s="50"/>
      <c r="B649" s="61">
        <v>43720</v>
      </c>
      <c r="C649" s="62" t="s">
        <v>32</v>
      </c>
      <c r="D649" s="62" t="s">
        <v>33</v>
      </c>
      <c r="E649" s="53">
        <f>SUM(F649:N649)</f>
        <v>2</v>
      </c>
      <c r="F649" s="63"/>
      <c r="G649" s="63"/>
      <c r="H649" s="63"/>
      <c r="I649" s="63"/>
      <c r="J649" s="63"/>
      <c r="K649" s="63">
        <v>2</v>
      </c>
      <c r="L649" s="63"/>
      <c r="M649" s="63"/>
      <c r="N649" s="63"/>
      <c r="O649" s="64" t="s">
        <v>663</v>
      </c>
      <c r="P649" s="56"/>
      <c r="Q649" s="57"/>
      <c r="R649" s="58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</row>
    <row r="650" spans="1:28" ht="14.4" x14ac:dyDescent="0.3">
      <c r="A650" s="50"/>
      <c r="B650" s="61">
        <v>43721</v>
      </c>
      <c r="C650" s="62" t="s">
        <v>47</v>
      </c>
      <c r="D650" s="62" t="s">
        <v>48</v>
      </c>
      <c r="E650" s="53">
        <f>SUM(F650:N650)</f>
        <v>2</v>
      </c>
      <c r="F650" s="63"/>
      <c r="G650" s="63"/>
      <c r="H650" s="63"/>
      <c r="I650" s="63"/>
      <c r="J650" s="63">
        <v>2</v>
      </c>
      <c r="K650" s="63"/>
      <c r="L650" s="63"/>
      <c r="M650" s="63"/>
      <c r="N650" s="63"/>
      <c r="O650" s="64" t="s">
        <v>351</v>
      </c>
      <c r="P650" s="56"/>
      <c r="Q650" s="57"/>
      <c r="R650" s="58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</row>
    <row r="651" spans="1:28" ht="14.4" x14ac:dyDescent="0.3">
      <c r="A651" s="50"/>
      <c r="B651" s="61">
        <v>43721</v>
      </c>
      <c r="C651" s="62" t="s">
        <v>112</v>
      </c>
      <c r="D651" s="62" t="s">
        <v>113</v>
      </c>
      <c r="E651" s="53">
        <f>SUM(F651:N651)</f>
        <v>2</v>
      </c>
      <c r="F651" s="63"/>
      <c r="G651" s="63"/>
      <c r="H651" s="63"/>
      <c r="I651" s="63"/>
      <c r="J651" s="63">
        <v>2</v>
      </c>
      <c r="K651" s="63"/>
      <c r="L651" s="63"/>
      <c r="M651" s="63"/>
      <c r="N651" s="63"/>
      <c r="O651" s="64" t="s">
        <v>401</v>
      </c>
      <c r="P651" s="56"/>
      <c r="Q651" s="57"/>
      <c r="R651" s="58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</row>
    <row r="652" spans="1:28" ht="14.4" x14ac:dyDescent="0.3">
      <c r="A652" s="50"/>
      <c r="B652" s="61">
        <v>43721</v>
      </c>
      <c r="C652" s="62" t="s">
        <v>17</v>
      </c>
      <c r="D652" s="62" t="s">
        <v>18</v>
      </c>
      <c r="E652" s="53">
        <f>SUM(F652:N652)</f>
        <v>2</v>
      </c>
      <c r="F652" s="63"/>
      <c r="G652" s="63"/>
      <c r="H652" s="63"/>
      <c r="I652" s="63"/>
      <c r="J652" s="63">
        <v>1</v>
      </c>
      <c r="K652" s="63">
        <v>1</v>
      </c>
      <c r="L652" s="63"/>
      <c r="M652" s="63"/>
      <c r="N652" s="63"/>
      <c r="O652" s="64" t="s">
        <v>302</v>
      </c>
      <c r="P652" s="56"/>
      <c r="Q652" s="57"/>
      <c r="R652" s="58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</row>
    <row r="653" spans="1:28" ht="14.4" x14ac:dyDescent="0.3">
      <c r="A653" s="50"/>
      <c r="B653" s="61">
        <v>43723</v>
      </c>
      <c r="C653" s="62" t="s">
        <v>74</v>
      </c>
      <c r="D653" s="62" t="s">
        <v>75</v>
      </c>
      <c r="E653" s="53">
        <f>SUM(F653:N653)</f>
        <v>4</v>
      </c>
      <c r="F653" s="63"/>
      <c r="G653" s="63"/>
      <c r="H653" s="63"/>
      <c r="I653" s="63"/>
      <c r="J653" s="63">
        <v>3</v>
      </c>
      <c r="K653" s="63">
        <v>1</v>
      </c>
      <c r="L653" s="63"/>
      <c r="M653" s="63"/>
      <c r="N653" s="63"/>
      <c r="O653" s="64" t="s">
        <v>605</v>
      </c>
      <c r="P653" s="56"/>
      <c r="Q653" s="57"/>
      <c r="R653" s="58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</row>
    <row r="654" spans="1:28" ht="14.4" x14ac:dyDescent="0.3">
      <c r="A654" s="50"/>
      <c r="B654" s="61">
        <v>43723</v>
      </c>
      <c r="C654" s="62" t="s">
        <v>20</v>
      </c>
      <c r="D654" s="62" t="s">
        <v>21</v>
      </c>
      <c r="E654" s="53">
        <f>SUM(F654:N654)</f>
        <v>3</v>
      </c>
      <c r="F654" s="63"/>
      <c r="G654" s="63">
        <v>2</v>
      </c>
      <c r="H654" s="63">
        <v>1</v>
      </c>
      <c r="I654" s="63"/>
      <c r="J654" s="63"/>
      <c r="K654" s="63"/>
      <c r="L654" s="63"/>
      <c r="M654" s="63"/>
      <c r="N654" s="63"/>
      <c r="O654" s="64" t="s">
        <v>445</v>
      </c>
      <c r="P654" s="56"/>
      <c r="Q654" s="57"/>
      <c r="R654" s="58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</row>
    <row r="655" spans="1:28" ht="14.4" x14ac:dyDescent="0.3">
      <c r="A655" s="50"/>
      <c r="B655" s="61">
        <v>43723</v>
      </c>
      <c r="C655" s="62" t="s">
        <v>29</v>
      </c>
      <c r="D655" s="62" t="s">
        <v>30</v>
      </c>
      <c r="E655" s="53">
        <f>SUM(F655:N655)</f>
        <v>4</v>
      </c>
      <c r="F655" s="63"/>
      <c r="G655" s="63">
        <v>2</v>
      </c>
      <c r="H655" s="63">
        <v>1</v>
      </c>
      <c r="I655" s="63"/>
      <c r="J655" s="63"/>
      <c r="K655" s="63">
        <v>1</v>
      </c>
      <c r="L655" s="63"/>
      <c r="M655" s="63"/>
      <c r="N655" s="63"/>
      <c r="O655" s="64" t="s">
        <v>743</v>
      </c>
      <c r="P655" s="56"/>
      <c r="Q655" s="57"/>
      <c r="R655" s="58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</row>
    <row r="656" spans="1:28" ht="14.4" x14ac:dyDescent="0.3">
      <c r="A656" s="50"/>
      <c r="B656" s="61">
        <v>43723</v>
      </c>
      <c r="C656" s="62" t="s">
        <v>32</v>
      </c>
      <c r="D656" s="62" t="s">
        <v>33</v>
      </c>
      <c r="E656" s="53">
        <f>SUM(F656:N656)</f>
        <v>1</v>
      </c>
      <c r="F656" s="63"/>
      <c r="G656" s="63"/>
      <c r="H656" s="63"/>
      <c r="I656" s="63"/>
      <c r="J656" s="63"/>
      <c r="K656" s="63">
        <v>1</v>
      </c>
      <c r="L656" s="63"/>
      <c r="M656" s="63"/>
      <c r="N656" s="63"/>
      <c r="O656" s="64" t="s">
        <v>195</v>
      </c>
      <c r="P656" s="56"/>
      <c r="Q656" s="57"/>
      <c r="R656" s="58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</row>
    <row r="657" spans="1:28" ht="14.4" x14ac:dyDescent="0.3">
      <c r="A657" s="50"/>
      <c r="B657" s="61">
        <v>43723</v>
      </c>
      <c r="C657" s="62" t="s">
        <v>14</v>
      </c>
      <c r="D657" s="62" t="s">
        <v>15</v>
      </c>
      <c r="E657" s="53">
        <f>SUM(F657:N657)</f>
        <v>9</v>
      </c>
      <c r="F657" s="63"/>
      <c r="G657" s="63"/>
      <c r="H657" s="63"/>
      <c r="I657" s="63"/>
      <c r="J657" s="63">
        <v>2</v>
      </c>
      <c r="K657" s="63">
        <v>6</v>
      </c>
      <c r="L657" s="63">
        <v>1</v>
      </c>
      <c r="M657" s="63"/>
      <c r="N657" s="63"/>
      <c r="O657" s="64" t="s">
        <v>841</v>
      </c>
      <c r="P657" s="56"/>
      <c r="Q657" s="57"/>
      <c r="R657" s="58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</row>
    <row r="658" spans="1:28" ht="14.4" x14ac:dyDescent="0.3">
      <c r="A658" s="50"/>
      <c r="B658" s="61">
        <v>43723</v>
      </c>
      <c r="C658" s="62" t="s">
        <v>23</v>
      </c>
      <c r="D658" s="62" t="s">
        <v>24</v>
      </c>
      <c r="E658" s="53">
        <f>SUM(F658:N658)</f>
        <v>7</v>
      </c>
      <c r="F658" s="63"/>
      <c r="G658" s="63"/>
      <c r="H658" s="63">
        <v>4</v>
      </c>
      <c r="I658" s="63"/>
      <c r="J658" s="63"/>
      <c r="K658" s="63">
        <v>1</v>
      </c>
      <c r="L658" s="63">
        <v>2</v>
      </c>
      <c r="M658" s="63"/>
      <c r="N658" s="63"/>
      <c r="O658" s="64" t="s">
        <v>888</v>
      </c>
      <c r="P658" s="56"/>
      <c r="Q658" s="57"/>
      <c r="R658" s="58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</row>
    <row r="659" spans="1:28" ht="14.4" x14ac:dyDescent="0.3">
      <c r="A659" s="50"/>
      <c r="B659" s="61">
        <v>43724</v>
      </c>
      <c r="C659" s="62" t="s">
        <v>17</v>
      </c>
      <c r="D659" s="62" t="s">
        <v>18</v>
      </c>
      <c r="E659" s="53">
        <f>SUM(F659:N659)</f>
        <v>6</v>
      </c>
      <c r="F659" s="63"/>
      <c r="G659" s="63">
        <v>1</v>
      </c>
      <c r="H659" s="63"/>
      <c r="I659" s="63"/>
      <c r="J659" s="63">
        <v>4</v>
      </c>
      <c r="K659" s="63">
        <v>1</v>
      </c>
      <c r="L659" s="63"/>
      <c r="M659" s="63"/>
      <c r="N659" s="63"/>
      <c r="O659" s="64" t="s">
        <v>303</v>
      </c>
      <c r="P659" s="56"/>
      <c r="Q659" s="57"/>
      <c r="R659" s="58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</row>
    <row r="660" spans="1:28" ht="14.4" x14ac:dyDescent="0.3">
      <c r="A660" s="50"/>
      <c r="B660" s="61">
        <v>43725</v>
      </c>
      <c r="C660" s="62" t="s">
        <v>62</v>
      </c>
      <c r="D660" s="62" t="s">
        <v>63</v>
      </c>
      <c r="E660" s="53">
        <f>SUM(F660:N660)</f>
        <v>12</v>
      </c>
      <c r="F660" s="63"/>
      <c r="G660" s="63">
        <v>1</v>
      </c>
      <c r="H660" s="63">
        <v>3</v>
      </c>
      <c r="I660" s="63">
        <v>2</v>
      </c>
      <c r="J660" s="63">
        <v>5</v>
      </c>
      <c r="K660" s="63">
        <v>1</v>
      </c>
      <c r="L660" s="63"/>
      <c r="M660" s="63"/>
      <c r="N660" s="63"/>
      <c r="O660" s="64" t="s">
        <v>328</v>
      </c>
      <c r="P660" s="56"/>
      <c r="Q660" s="57"/>
      <c r="R660" s="58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</row>
    <row r="661" spans="1:28" ht="14.4" x14ac:dyDescent="0.3">
      <c r="A661" s="50"/>
      <c r="B661" s="61">
        <v>43725</v>
      </c>
      <c r="C661" s="62" t="s">
        <v>41</v>
      </c>
      <c r="D661" s="62" t="s">
        <v>42</v>
      </c>
      <c r="E661" s="53">
        <f>SUM(F661:N661)</f>
        <v>4</v>
      </c>
      <c r="F661" s="63"/>
      <c r="G661" s="63"/>
      <c r="H661" s="63"/>
      <c r="I661" s="63"/>
      <c r="J661" s="63">
        <v>4</v>
      </c>
      <c r="K661" s="63"/>
      <c r="L661" s="63"/>
      <c r="M661" s="63"/>
      <c r="N661" s="63"/>
      <c r="O661" s="64" t="s">
        <v>582</v>
      </c>
      <c r="P661" s="56"/>
      <c r="Q661" s="57"/>
      <c r="R661" s="58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</row>
    <row r="662" spans="1:28" ht="14.4" x14ac:dyDescent="0.3">
      <c r="A662" s="50"/>
      <c r="B662" s="61">
        <v>43725</v>
      </c>
      <c r="C662" s="62" t="s">
        <v>17</v>
      </c>
      <c r="D662" s="62" t="s">
        <v>18</v>
      </c>
      <c r="E662" s="53">
        <f>SUM(F662:N662)</f>
        <v>10</v>
      </c>
      <c r="F662" s="63">
        <v>1</v>
      </c>
      <c r="G662" s="63"/>
      <c r="H662" s="63">
        <v>2</v>
      </c>
      <c r="I662" s="63">
        <v>4</v>
      </c>
      <c r="J662" s="63">
        <v>2</v>
      </c>
      <c r="K662" s="63">
        <v>1</v>
      </c>
      <c r="L662" s="63"/>
      <c r="M662" s="63"/>
      <c r="N662" s="63"/>
      <c r="O662" s="64" t="s">
        <v>304</v>
      </c>
      <c r="P662" s="56"/>
      <c r="Q662" s="57"/>
      <c r="R662" s="58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</row>
    <row r="663" spans="1:28" ht="14.4" x14ac:dyDescent="0.3">
      <c r="A663" s="50"/>
      <c r="B663" s="61">
        <v>43726</v>
      </c>
      <c r="C663" s="62" t="s">
        <v>26</v>
      </c>
      <c r="D663" s="62" t="s">
        <v>27</v>
      </c>
      <c r="E663" s="53">
        <f>SUM(F663:N663)</f>
        <v>13</v>
      </c>
      <c r="F663" s="63"/>
      <c r="G663" s="63"/>
      <c r="H663" s="63">
        <v>1</v>
      </c>
      <c r="I663" s="63"/>
      <c r="J663" s="63">
        <v>3</v>
      </c>
      <c r="K663" s="63">
        <v>8</v>
      </c>
      <c r="L663" s="63">
        <v>1</v>
      </c>
      <c r="M663" s="63"/>
      <c r="N663" s="63"/>
      <c r="O663" s="64" t="s">
        <v>559</v>
      </c>
      <c r="P663" s="56"/>
      <c r="Q663" s="57"/>
      <c r="R663" s="58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</row>
    <row r="664" spans="1:28" ht="14.4" x14ac:dyDescent="0.3">
      <c r="A664" s="50"/>
      <c r="B664" s="61">
        <v>43726</v>
      </c>
      <c r="C664" s="62" t="s">
        <v>17</v>
      </c>
      <c r="D664" s="62" t="s">
        <v>18</v>
      </c>
      <c r="E664" s="53">
        <f>SUM(F664:N664)</f>
        <v>11</v>
      </c>
      <c r="F664" s="63"/>
      <c r="G664" s="63"/>
      <c r="H664" s="63"/>
      <c r="I664" s="63">
        <v>7</v>
      </c>
      <c r="J664" s="63">
        <v>1</v>
      </c>
      <c r="K664" s="63"/>
      <c r="L664" s="63">
        <v>3</v>
      </c>
      <c r="M664" s="63"/>
      <c r="N664" s="63"/>
      <c r="O664" s="64" t="s">
        <v>305</v>
      </c>
      <c r="P664" s="56"/>
      <c r="Q664" s="57"/>
      <c r="R664" s="58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</row>
    <row r="665" spans="1:28" ht="14.4" x14ac:dyDescent="0.3">
      <c r="A665" s="50"/>
      <c r="B665" s="61">
        <v>43727</v>
      </c>
      <c r="C665" s="62" t="s">
        <v>17</v>
      </c>
      <c r="D665" s="62" t="s">
        <v>18</v>
      </c>
      <c r="E665" s="53">
        <f>SUM(F665:N665)</f>
        <v>2</v>
      </c>
      <c r="F665" s="63"/>
      <c r="G665" s="63"/>
      <c r="H665" s="63"/>
      <c r="I665" s="63"/>
      <c r="J665" s="63">
        <v>1</v>
      </c>
      <c r="K665" s="63"/>
      <c r="L665" s="63">
        <v>1</v>
      </c>
      <c r="M665" s="63"/>
      <c r="N665" s="63"/>
      <c r="O665" s="64" t="s">
        <v>306</v>
      </c>
      <c r="P665" s="56"/>
      <c r="Q665" s="57"/>
      <c r="R665" s="58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</row>
    <row r="666" spans="1:28" ht="14.4" x14ac:dyDescent="0.3">
      <c r="A666" s="50"/>
      <c r="B666" s="61">
        <v>43728</v>
      </c>
      <c r="C666" s="62" t="s">
        <v>62</v>
      </c>
      <c r="D666" s="62" t="s">
        <v>63</v>
      </c>
      <c r="E666" s="53">
        <f>SUM(F666:N666)</f>
        <v>3</v>
      </c>
      <c r="F666" s="63"/>
      <c r="G666" s="63">
        <v>1</v>
      </c>
      <c r="H666" s="63"/>
      <c r="I666" s="63"/>
      <c r="J666" s="63">
        <v>1</v>
      </c>
      <c r="K666" s="63">
        <v>1</v>
      </c>
      <c r="L666" s="63"/>
      <c r="M666" s="63"/>
      <c r="N666" s="63"/>
      <c r="O666" s="64" t="s">
        <v>329</v>
      </c>
      <c r="P666" s="56"/>
      <c r="Q666" s="57"/>
      <c r="R666" s="58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</row>
    <row r="667" spans="1:28" ht="14.4" x14ac:dyDescent="0.3">
      <c r="A667" s="50"/>
      <c r="B667" s="61">
        <v>43728</v>
      </c>
      <c r="C667" s="62" t="s">
        <v>41</v>
      </c>
      <c r="D667" s="62" t="s">
        <v>42</v>
      </c>
      <c r="E667" s="53">
        <f>SUM(F667:N667)</f>
        <v>6</v>
      </c>
      <c r="F667" s="63"/>
      <c r="G667" s="63">
        <v>1</v>
      </c>
      <c r="H667" s="63"/>
      <c r="I667" s="63"/>
      <c r="J667" s="63">
        <v>5</v>
      </c>
      <c r="K667" s="63"/>
      <c r="L667" s="63"/>
      <c r="M667" s="63"/>
      <c r="N667" s="63"/>
      <c r="O667" s="64" t="s">
        <v>583</v>
      </c>
      <c r="P667" s="56"/>
      <c r="Q667" s="57"/>
      <c r="R667" s="58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</row>
    <row r="668" spans="1:28" ht="14.4" x14ac:dyDescent="0.3">
      <c r="A668" s="50"/>
      <c r="B668" s="61">
        <v>43728</v>
      </c>
      <c r="C668" s="62" t="s">
        <v>89</v>
      </c>
      <c r="D668" s="62" t="s">
        <v>90</v>
      </c>
      <c r="E668" s="53">
        <f>SUM(F668:N668)</f>
        <v>1</v>
      </c>
      <c r="F668" s="63"/>
      <c r="G668" s="63"/>
      <c r="H668" s="63"/>
      <c r="I668" s="63"/>
      <c r="J668" s="63">
        <v>1</v>
      </c>
      <c r="K668" s="63"/>
      <c r="L668" s="63"/>
      <c r="M668" s="63"/>
      <c r="N668" s="63"/>
      <c r="O668" s="64" t="s">
        <v>681</v>
      </c>
      <c r="P668" s="56"/>
      <c r="Q668" s="57"/>
      <c r="R668" s="58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</row>
    <row r="669" spans="1:28" ht="14.4" x14ac:dyDescent="0.3">
      <c r="A669" s="50"/>
      <c r="B669" s="61">
        <v>43728</v>
      </c>
      <c r="C669" s="62" t="s">
        <v>17</v>
      </c>
      <c r="D669" s="62" t="s">
        <v>18</v>
      </c>
      <c r="E669" s="53">
        <f>SUM(F669:N669)</f>
        <v>8</v>
      </c>
      <c r="F669" s="63"/>
      <c r="G669" s="63">
        <v>1</v>
      </c>
      <c r="H669" s="63"/>
      <c r="I669" s="63">
        <v>5</v>
      </c>
      <c r="J669" s="63">
        <v>1</v>
      </c>
      <c r="K669" s="63"/>
      <c r="L669" s="63">
        <v>1</v>
      </c>
      <c r="M669" s="63"/>
      <c r="N669" s="63"/>
      <c r="O669" s="64" t="s">
        <v>307</v>
      </c>
      <c r="P669" s="56"/>
      <c r="Q669" s="57"/>
      <c r="R669" s="58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</row>
    <row r="670" spans="1:28" ht="14.4" x14ac:dyDescent="0.3">
      <c r="A670" s="50"/>
      <c r="B670" s="61">
        <v>43729</v>
      </c>
      <c r="C670" s="62" t="s">
        <v>35</v>
      </c>
      <c r="D670" s="62" t="s">
        <v>36</v>
      </c>
      <c r="E670" s="53">
        <f>SUM(F670:N670)</f>
        <v>11</v>
      </c>
      <c r="F670" s="63">
        <v>1</v>
      </c>
      <c r="G670" s="63"/>
      <c r="H670" s="63"/>
      <c r="I670" s="63">
        <v>8</v>
      </c>
      <c r="J670" s="63">
        <v>1</v>
      </c>
      <c r="K670" s="63"/>
      <c r="L670" s="63">
        <v>1</v>
      </c>
      <c r="M670" s="63"/>
      <c r="N670" s="63"/>
      <c r="O670" s="64" t="s">
        <v>482</v>
      </c>
      <c r="P670" s="56"/>
      <c r="Q670" s="57"/>
      <c r="R670" s="58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</row>
    <row r="671" spans="1:28" ht="14.4" x14ac:dyDescent="0.3">
      <c r="A671" s="50"/>
      <c r="B671" s="61">
        <v>43729</v>
      </c>
      <c r="C671" s="62" t="s">
        <v>80</v>
      </c>
      <c r="D671" s="62" t="s">
        <v>81</v>
      </c>
      <c r="E671" s="53">
        <f>SUM(F671:N671)</f>
        <v>1</v>
      </c>
      <c r="F671" s="63"/>
      <c r="G671" s="63"/>
      <c r="H671" s="63"/>
      <c r="I671" s="63"/>
      <c r="J671" s="63">
        <v>1</v>
      </c>
      <c r="K671" s="63"/>
      <c r="L671" s="63"/>
      <c r="M671" s="63"/>
      <c r="N671" s="63"/>
      <c r="O671" s="64" t="s">
        <v>199</v>
      </c>
      <c r="P671" s="56"/>
      <c r="Q671" s="57"/>
      <c r="R671" s="58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</row>
    <row r="672" spans="1:28" ht="14.4" x14ac:dyDescent="0.3">
      <c r="A672" s="50"/>
      <c r="B672" s="61">
        <v>43729</v>
      </c>
      <c r="C672" s="62" t="s">
        <v>17</v>
      </c>
      <c r="D672" s="62" t="s">
        <v>18</v>
      </c>
      <c r="E672" s="53">
        <f>SUM(F672:N672)</f>
        <v>10</v>
      </c>
      <c r="F672" s="63"/>
      <c r="G672" s="63"/>
      <c r="H672" s="63">
        <v>1</v>
      </c>
      <c r="I672" s="63">
        <v>4</v>
      </c>
      <c r="J672" s="63">
        <v>2</v>
      </c>
      <c r="K672" s="63">
        <v>1</v>
      </c>
      <c r="L672" s="63">
        <v>2</v>
      </c>
      <c r="M672" s="63"/>
      <c r="N672" s="63"/>
      <c r="O672" s="64" t="s">
        <v>308</v>
      </c>
      <c r="P672" s="56"/>
      <c r="Q672" s="57"/>
      <c r="R672" s="58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</row>
    <row r="673" spans="1:28" ht="14.4" x14ac:dyDescent="0.3">
      <c r="A673" s="50"/>
      <c r="B673" s="61">
        <v>43729</v>
      </c>
      <c r="C673" s="62" t="s">
        <v>23</v>
      </c>
      <c r="D673" s="62" t="s">
        <v>24</v>
      </c>
      <c r="E673" s="53">
        <f>SUM(F673:N673)</f>
        <v>20</v>
      </c>
      <c r="F673" s="63"/>
      <c r="G673" s="63">
        <v>3</v>
      </c>
      <c r="H673" s="63"/>
      <c r="I673" s="63">
        <v>9</v>
      </c>
      <c r="J673" s="63">
        <v>3</v>
      </c>
      <c r="K673" s="63">
        <v>3</v>
      </c>
      <c r="L673" s="63">
        <v>2</v>
      </c>
      <c r="M673" s="63"/>
      <c r="N673" s="63"/>
      <c r="O673" s="64" t="s">
        <v>889</v>
      </c>
      <c r="P673" s="56"/>
      <c r="Q673" s="57"/>
      <c r="R673" s="58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</row>
    <row r="674" spans="1:28" ht="14.4" x14ac:dyDescent="0.3">
      <c r="A674" s="50"/>
      <c r="B674" s="61">
        <v>43729</v>
      </c>
      <c r="C674" s="62" t="s">
        <v>14</v>
      </c>
      <c r="D674" s="62" t="s">
        <v>15</v>
      </c>
      <c r="E674" s="53">
        <f>SUM(F674:N674)</f>
        <v>2</v>
      </c>
      <c r="F674" s="63"/>
      <c r="G674" s="63">
        <v>1</v>
      </c>
      <c r="H674" s="63"/>
      <c r="I674" s="63"/>
      <c r="J674" s="63"/>
      <c r="K674" s="63"/>
      <c r="L674" s="63">
        <v>1</v>
      </c>
      <c r="M674" s="63"/>
      <c r="N674" s="63"/>
      <c r="O674" s="64" t="s">
        <v>842</v>
      </c>
      <c r="P674" s="56"/>
      <c r="Q674" s="57"/>
      <c r="R674" s="58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</row>
    <row r="675" spans="1:28" ht="14.4" x14ac:dyDescent="0.3">
      <c r="A675" s="50"/>
      <c r="B675" s="61">
        <v>43730</v>
      </c>
      <c r="C675" s="62" t="s">
        <v>71</v>
      </c>
      <c r="D675" s="62" t="s">
        <v>72</v>
      </c>
      <c r="E675" s="53">
        <f>SUM(F675:N675)</f>
        <v>3</v>
      </c>
      <c r="F675" s="63"/>
      <c r="G675" s="63">
        <v>1</v>
      </c>
      <c r="H675" s="63"/>
      <c r="I675" s="63"/>
      <c r="J675" s="63">
        <v>2</v>
      </c>
      <c r="K675" s="63"/>
      <c r="L675" s="63"/>
      <c r="M675" s="63"/>
      <c r="N675" s="63"/>
      <c r="O675" s="64" t="s">
        <v>626</v>
      </c>
      <c r="P675" s="56"/>
      <c r="Q675" s="57"/>
      <c r="R675" s="58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</row>
    <row r="676" spans="1:28" ht="14.4" x14ac:dyDescent="0.3">
      <c r="A676" s="50"/>
      <c r="B676" s="61">
        <v>43730</v>
      </c>
      <c r="C676" s="62" t="s">
        <v>32</v>
      </c>
      <c r="D676" s="62" t="s">
        <v>33</v>
      </c>
      <c r="E676" s="53">
        <f>SUM(F676:N676)</f>
        <v>1</v>
      </c>
      <c r="F676" s="63"/>
      <c r="G676" s="63"/>
      <c r="H676" s="63"/>
      <c r="I676" s="63"/>
      <c r="J676" s="63">
        <v>1</v>
      </c>
      <c r="K676" s="63"/>
      <c r="L676" s="63"/>
      <c r="M676" s="63"/>
      <c r="N676" s="63"/>
      <c r="O676" s="64" t="s">
        <v>664</v>
      </c>
      <c r="P676" s="56"/>
      <c r="Q676" s="57"/>
      <c r="R676" s="58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</row>
    <row r="677" spans="1:28" ht="14.4" x14ac:dyDescent="0.3">
      <c r="A677" s="50"/>
      <c r="B677" s="61">
        <v>43730</v>
      </c>
      <c r="C677" s="62" t="s">
        <v>17</v>
      </c>
      <c r="D677" s="62" t="s">
        <v>18</v>
      </c>
      <c r="E677" s="53">
        <f>SUM(F677:N677)</f>
        <v>6</v>
      </c>
      <c r="F677" s="63"/>
      <c r="G677" s="63"/>
      <c r="H677" s="63"/>
      <c r="I677" s="63">
        <v>2</v>
      </c>
      <c r="J677" s="63">
        <v>4</v>
      </c>
      <c r="K677" s="63"/>
      <c r="L677" s="63"/>
      <c r="M677" s="63"/>
      <c r="N677" s="63"/>
      <c r="O677" s="64" t="s">
        <v>309</v>
      </c>
      <c r="P677" s="56"/>
      <c r="Q677" s="57"/>
      <c r="R677" s="58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</row>
    <row r="678" spans="1:28" ht="14.4" x14ac:dyDescent="0.3">
      <c r="A678" s="50"/>
      <c r="B678" s="61">
        <v>43730</v>
      </c>
      <c r="C678" s="62" t="s">
        <v>14</v>
      </c>
      <c r="D678" s="62" t="s">
        <v>15</v>
      </c>
      <c r="E678" s="53">
        <f>SUM(F678:N678)</f>
        <v>10</v>
      </c>
      <c r="F678" s="63"/>
      <c r="G678" s="63"/>
      <c r="H678" s="63"/>
      <c r="I678" s="63">
        <v>8</v>
      </c>
      <c r="J678" s="63">
        <v>1</v>
      </c>
      <c r="K678" s="63"/>
      <c r="L678" s="63">
        <v>1</v>
      </c>
      <c r="M678" s="63"/>
      <c r="N678" s="63"/>
      <c r="O678" s="64" t="s">
        <v>843</v>
      </c>
      <c r="P678" s="56"/>
      <c r="Q678" s="57"/>
      <c r="R678" s="58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</row>
    <row r="679" spans="1:28" ht="14.4" x14ac:dyDescent="0.3">
      <c r="A679" s="50"/>
      <c r="B679" s="61">
        <v>43731</v>
      </c>
      <c r="C679" s="62" t="s">
        <v>32</v>
      </c>
      <c r="D679" s="62" t="s">
        <v>33</v>
      </c>
      <c r="E679" s="53">
        <f>SUM(F679:N679)</f>
        <v>3</v>
      </c>
      <c r="F679" s="63"/>
      <c r="G679" s="63"/>
      <c r="H679" s="63">
        <v>2</v>
      </c>
      <c r="I679" s="63"/>
      <c r="J679" s="63"/>
      <c r="K679" s="63">
        <v>1</v>
      </c>
      <c r="L679" s="63"/>
      <c r="M679" s="63"/>
      <c r="N679" s="63"/>
      <c r="O679" s="64" t="s">
        <v>448</v>
      </c>
      <c r="P679" s="56"/>
      <c r="Q679" s="57"/>
      <c r="R679" s="58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</row>
    <row r="680" spans="1:28" ht="14.4" x14ac:dyDescent="0.3">
      <c r="A680" s="50"/>
      <c r="B680" s="61">
        <v>43731</v>
      </c>
      <c r="C680" s="62" t="s">
        <v>20</v>
      </c>
      <c r="D680" s="62" t="s">
        <v>21</v>
      </c>
      <c r="E680" s="53">
        <f>SUM(F680:N680)</f>
        <v>1</v>
      </c>
      <c r="F680" s="63"/>
      <c r="G680" s="63"/>
      <c r="H680" s="63"/>
      <c r="I680" s="63"/>
      <c r="J680" s="63">
        <v>1</v>
      </c>
      <c r="K680" s="63"/>
      <c r="L680" s="63"/>
      <c r="M680" s="63"/>
      <c r="N680" s="63"/>
      <c r="O680" s="64" t="s">
        <v>446</v>
      </c>
      <c r="P680" s="56"/>
      <c r="Q680" s="57"/>
      <c r="R680" s="58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</row>
    <row r="681" spans="1:28" ht="14.4" x14ac:dyDescent="0.3">
      <c r="A681" s="50"/>
      <c r="B681" s="61">
        <v>43733</v>
      </c>
      <c r="C681" s="62" t="s">
        <v>65</v>
      </c>
      <c r="D681" s="62" t="s">
        <v>66</v>
      </c>
      <c r="E681" s="53">
        <f>SUM(F681:N681)</f>
        <v>2</v>
      </c>
      <c r="F681" s="63"/>
      <c r="G681" s="63"/>
      <c r="H681" s="63"/>
      <c r="I681" s="63"/>
      <c r="J681" s="63">
        <v>2</v>
      </c>
      <c r="K681" s="63"/>
      <c r="L681" s="63"/>
      <c r="M681" s="63"/>
      <c r="N681" s="63"/>
      <c r="O681" s="64" t="s">
        <v>781</v>
      </c>
      <c r="P681" s="56"/>
      <c r="Q681" s="57"/>
      <c r="R681" s="58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</row>
    <row r="682" spans="1:28" ht="14.4" x14ac:dyDescent="0.3">
      <c r="A682" s="50"/>
      <c r="B682" s="61">
        <v>43733</v>
      </c>
      <c r="C682" s="62" t="s">
        <v>50</v>
      </c>
      <c r="D682" s="62" t="s">
        <v>51</v>
      </c>
      <c r="E682" s="53">
        <f>SUM(F682:N682)</f>
        <v>10</v>
      </c>
      <c r="F682" s="63"/>
      <c r="G682" s="63">
        <v>1</v>
      </c>
      <c r="H682" s="63">
        <v>2</v>
      </c>
      <c r="I682" s="63">
        <v>2</v>
      </c>
      <c r="J682" s="63">
        <v>5</v>
      </c>
      <c r="K682" s="63"/>
      <c r="L682" s="63"/>
      <c r="M682" s="63"/>
      <c r="N682" s="63"/>
      <c r="O682" s="64" t="s">
        <v>765</v>
      </c>
      <c r="P682" s="56"/>
      <c r="Q682" s="57"/>
      <c r="R682" s="58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</row>
    <row r="683" spans="1:28" ht="14.4" x14ac:dyDescent="0.3">
      <c r="A683" s="50"/>
      <c r="B683" s="61">
        <v>43733</v>
      </c>
      <c r="C683" s="62" t="s">
        <v>35</v>
      </c>
      <c r="D683" s="62" t="s">
        <v>36</v>
      </c>
      <c r="E683" s="53">
        <f>SUM(F683:N683)</f>
        <v>11</v>
      </c>
      <c r="F683" s="63"/>
      <c r="G683" s="63"/>
      <c r="H683" s="63">
        <v>1</v>
      </c>
      <c r="I683" s="63">
        <v>6</v>
      </c>
      <c r="J683" s="63">
        <v>2</v>
      </c>
      <c r="K683" s="63">
        <v>2</v>
      </c>
      <c r="L683" s="63"/>
      <c r="M683" s="63"/>
      <c r="N683" s="63"/>
      <c r="O683" s="64" t="s">
        <v>483</v>
      </c>
      <c r="P683" s="56"/>
      <c r="Q683" s="57"/>
      <c r="R683" s="58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</row>
    <row r="684" spans="1:28" ht="14.4" x14ac:dyDescent="0.3">
      <c r="A684" s="50"/>
      <c r="B684" s="61">
        <v>43734</v>
      </c>
      <c r="C684" s="62" t="s">
        <v>32</v>
      </c>
      <c r="D684" s="62" t="s">
        <v>33</v>
      </c>
      <c r="E684" s="53">
        <f>SUM(F684:N684)</f>
        <v>3</v>
      </c>
      <c r="F684" s="63"/>
      <c r="G684" s="63"/>
      <c r="H684" s="63">
        <v>1</v>
      </c>
      <c r="I684" s="63"/>
      <c r="J684" s="63">
        <v>2</v>
      </c>
      <c r="K684" s="63"/>
      <c r="L684" s="63"/>
      <c r="M684" s="63"/>
      <c r="N684" s="63"/>
      <c r="O684" s="64" t="s">
        <v>665</v>
      </c>
      <c r="P684" s="56"/>
      <c r="Q684" s="57"/>
      <c r="R684" s="58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</row>
    <row r="685" spans="1:28" ht="14.4" x14ac:dyDescent="0.3">
      <c r="A685" s="50"/>
      <c r="B685" s="61">
        <v>43734</v>
      </c>
      <c r="C685" s="62" t="s">
        <v>80</v>
      </c>
      <c r="D685" s="62" t="s">
        <v>81</v>
      </c>
      <c r="E685" s="53">
        <f>SUM(F685:N685)</f>
        <v>2</v>
      </c>
      <c r="F685" s="63"/>
      <c r="G685" s="63"/>
      <c r="H685" s="63"/>
      <c r="I685" s="63"/>
      <c r="J685" s="63">
        <v>2</v>
      </c>
      <c r="K685" s="63"/>
      <c r="L685" s="63"/>
      <c r="M685" s="63"/>
      <c r="N685" s="63"/>
      <c r="O685" s="64" t="s">
        <v>200</v>
      </c>
      <c r="P685" s="56"/>
      <c r="Q685" s="57"/>
      <c r="R685" s="58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</row>
    <row r="686" spans="1:28" ht="14.4" x14ac:dyDescent="0.3">
      <c r="A686" s="50"/>
      <c r="B686" s="61">
        <v>43736</v>
      </c>
      <c r="C686" s="62" t="s">
        <v>17</v>
      </c>
      <c r="D686" s="62" t="s">
        <v>18</v>
      </c>
      <c r="E686" s="53">
        <f>SUM(F686:N686)</f>
        <v>1</v>
      </c>
      <c r="F686" s="63"/>
      <c r="G686" s="63"/>
      <c r="H686" s="63"/>
      <c r="I686" s="63"/>
      <c r="J686" s="63">
        <v>1</v>
      </c>
      <c r="K686" s="63"/>
      <c r="L686" s="63"/>
      <c r="M686" s="63"/>
      <c r="N686" s="63"/>
      <c r="O686" s="64" t="s">
        <v>310</v>
      </c>
      <c r="P686" s="56"/>
      <c r="Q686" s="57"/>
      <c r="R686" s="58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</row>
    <row r="687" spans="1:28" ht="14.4" x14ac:dyDescent="0.3">
      <c r="A687" s="50"/>
      <c r="B687" s="61">
        <v>43736</v>
      </c>
      <c r="C687" s="62" t="s">
        <v>50</v>
      </c>
      <c r="D687" s="62" t="s">
        <v>51</v>
      </c>
      <c r="E687" s="53">
        <f>SUM(F687:N687)</f>
        <v>1</v>
      </c>
      <c r="F687" s="63"/>
      <c r="G687" s="63"/>
      <c r="H687" s="63"/>
      <c r="I687" s="63"/>
      <c r="J687" s="63">
        <v>1</v>
      </c>
      <c r="K687" s="63"/>
      <c r="L687" s="63"/>
      <c r="M687" s="63"/>
      <c r="N687" s="63"/>
      <c r="O687" s="64" t="s">
        <v>310</v>
      </c>
      <c r="P687" s="56"/>
      <c r="Q687" s="57"/>
      <c r="R687" s="58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</row>
    <row r="688" spans="1:28" ht="14.4" x14ac:dyDescent="0.3">
      <c r="A688" s="50"/>
      <c r="B688" s="61">
        <v>43736</v>
      </c>
      <c r="C688" s="62" t="s">
        <v>74</v>
      </c>
      <c r="D688" s="62" t="s">
        <v>75</v>
      </c>
      <c r="E688" s="53">
        <f>SUM(F688:N688)</f>
        <v>2</v>
      </c>
      <c r="F688" s="63"/>
      <c r="G688" s="63"/>
      <c r="H688" s="63"/>
      <c r="I688" s="63"/>
      <c r="J688" s="63"/>
      <c r="K688" s="63">
        <v>1</v>
      </c>
      <c r="L688" s="63">
        <v>1</v>
      </c>
      <c r="M688" s="63"/>
      <c r="N688" s="63"/>
      <c r="O688" s="64" t="s">
        <v>606</v>
      </c>
      <c r="P688" s="56"/>
      <c r="Q688" s="57"/>
      <c r="R688" s="58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</row>
    <row r="689" spans="1:28" ht="14.4" x14ac:dyDescent="0.3">
      <c r="A689" s="50"/>
      <c r="B689" s="61">
        <v>43736</v>
      </c>
      <c r="C689" s="62" t="s">
        <v>32</v>
      </c>
      <c r="D689" s="62" t="s">
        <v>33</v>
      </c>
      <c r="E689" s="53">
        <f>SUM(F689:N689)</f>
        <v>2</v>
      </c>
      <c r="F689" s="63"/>
      <c r="G689" s="63"/>
      <c r="H689" s="63">
        <v>1</v>
      </c>
      <c r="I689" s="63"/>
      <c r="J689" s="63"/>
      <c r="K689" s="63">
        <v>1</v>
      </c>
      <c r="L689" s="63"/>
      <c r="M689" s="63"/>
      <c r="N689" s="63"/>
      <c r="O689" s="64" t="s">
        <v>232</v>
      </c>
      <c r="P689" s="56"/>
      <c r="Q689" s="57"/>
      <c r="R689" s="58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</row>
    <row r="690" spans="1:28" ht="14.4" x14ac:dyDescent="0.3">
      <c r="A690" s="50"/>
      <c r="B690" s="61">
        <v>43736</v>
      </c>
      <c r="C690" s="62" t="s">
        <v>20</v>
      </c>
      <c r="D690" s="62" t="s">
        <v>21</v>
      </c>
      <c r="E690" s="53">
        <f>SUM(F690:N690)</f>
        <v>3</v>
      </c>
      <c r="F690" s="63"/>
      <c r="G690" s="63"/>
      <c r="H690" s="63"/>
      <c r="I690" s="63"/>
      <c r="J690" s="63">
        <v>1</v>
      </c>
      <c r="K690" s="63">
        <v>2</v>
      </c>
      <c r="L690" s="63"/>
      <c r="M690" s="63"/>
      <c r="N690" s="63"/>
      <c r="O690" s="64" t="s">
        <v>447</v>
      </c>
      <c r="P690" s="56"/>
      <c r="Q690" s="57"/>
      <c r="R690" s="58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</row>
    <row r="691" spans="1:28" ht="14.4" x14ac:dyDescent="0.3">
      <c r="A691" s="50"/>
      <c r="B691" s="61">
        <v>43736</v>
      </c>
      <c r="C691" s="62" t="s">
        <v>23</v>
      </c>
      <c r="D691" s="62" t="s">
        <v>24</v>
      </c>
      <c r="E691" s="53">
        <f>SUM(F691:N691)</f>
        <v>12</v>
      </c>
      <c r="F691" s="63"/>
      <c r="G691" s="63"/>
      <c r="H691" s="63"/>
      <c r="I691" s="63">
        <v>6</v>
      </c>
      <c r="J691" s="63">
        <v>3</v>
      </c>
      <c r="K691" s="63">
        <v>2</v>
      </c>
      <c r="L691" s="63">
        <v>1</v>
      </c>
      <c r="M691" s="63"/>
      <c r="N691" s="63"/>
      <c r="O691" s="64" t="s">
        <v>890</v>
      </c>
      <c r="P691" s="56"/>
      <c r="Q691" s="57"/>
      <c r="R691" s="58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</row>
    <row r="692" spans="1:28" ht="14.4" x14ac:dyDescent="0.3">
      <c r="A692" s="50"/>
      <c r="B692" s="61">
        <v>43736</v>
      </c>
      <c r="C692" s="62" t="s">
        <v>71</v>
      </c>
      <c r="D692" s="62" t="s">
        <v>72</v>
      </c>
      <c r="E692" s="53">
        <f>SUM(F692:N692)</f>
        <v>2</v>
      </c>
      <c r="F692" s="63"/>
      <c r="G692" s="63"/>
      <c r="H692" s="63"/>
      <c r="I692" s="63"/>
      <c r="J692" s="63">
        <v>2</v>
      </c>
      <c r="K692" s="63"/>
      <c r="L692" s="63"/>
      <c r="M692" s="63"/>
      <c r="N692" s="63"/>
      <c r="O692" s="64" t="s">
        <v>627</v>
      </c>
      <c r="P692" s="56"/>
      <c r="Q692" s="57"/>
      <c r="R692" s="58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</row>
    <row r="693" spans="1:28" ht="14.4" x14ac:dyDescent="0.3">
      <c r="A693" s="50"/>
      <c r="B693" s="61">
        <v>43737</v>
      </c>
      <c r="C693" s="62" t="s">
        <v>20</v>
      </c>
      <c r="D693" s="62" t="s">
        <v>21</v>
      </c>
      <c r="E693" s="53">
        <f>SUM(F693:N693)</f>
        <v>3</v>
      </c>
      <c r="F693" s="63"/>
      <c r="G693" s="63"/>
      <c r="H693" s="63">
        <v>2</v>
      </c>
      <c r="I693" s="63"/>
      <c r="J693" s="63"/>
      <c r="K693" s="63">
        <v>1</v>
      </c>
      <c r="L693" s="63"/>
      <c r="M693" s="63"/>
      <c r="N693" s="63"/>
      <c r="O693" s="64" t="s">
        <v>448</v>
      </c>
      <c r="P693" s="56"/>
      <c r="Q693" s="57"/>
      <c r="R693" s="58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</row>
    <row r="694" spans="1:28" ht="14.4" x14ac:dyDescent="0.3">
      <c r="A694" s="50"/>
      <c r="B694" s="61">
        <v>43737</v>
      </c>
      <c r="C694" s="62" t="s">
        <v>80</v>
      </c>
      <c r="D694" s="62" t="s">
        <v>81</v>
      </c>
      <c r="E694" s="53">
        <f>SUM(F694:N694)</f>
        <v>1</v>
      </c>
      <c r="F694" s="63"/>
      <c r="G694" s="63"/>
      <c r="H694" s="63">
        <v>1</v>
      </c>
      <c r="I694" s="63"/>
      <c r="J694" s="63"/>
      <c r="K694" s="63"/>
      <c r="L694" s="63"/>
      <c r="M694" s="63"/>
      <c r="N694" s="63"/>
      <c r="O694" s="64" t="s">
        <v>201</v>
      </c>
      <c r="P694" s="56"/>
      <c r="Q694" s="57"/>
      <c r="R694" s="58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</row>
    <row r="695" spans="1:28" ht="14.4" x14ac:dyDescent="0.3">
      <c r="A695" s="50"/>
      <c r="B695" s="61">
        <v>43737</v>
      </c>
      <c r="C695" s="62" t="s">
        <v>26</v>
      </c>
      <c r="D695" s="62" t="s">
        <v>27</v>
      </c>
      <c r="E695" s="53">
        <f>SUM(F695:N695)</f>
        <v>6</v>
      </c>
      <c r="F695" s="63"/>
      <c r="G695" s="63"/>
      <c r="H695" s="63"/>
      <c r="I695" s="63"/>
      <c r="J695" s="63">
        <v>6</v>
      </c>
      <c r="K695" s="63"/>
      <c r="L695" s="63"/>
      <c r="M695" s="63"/>
      <c r="N695" s="63"/>
      <c r="O695" s="64" t="s">
        <v>560</v>
      </c>
      <c r="P695" s="56"/>
      <c r="Q695" s="57"/>
      <c r="R695" s="58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</row>
    <row r="696" spans="1:28" ht="14.4" x14ac:dyDescent="0.3">
      <c r="A696" s="50"/>
      <c r="B696" s="61">
        <v>43737</v>
      </c>
      <c r="C696" s="62" t="s">
        <v>14</v>
      </c>
      <c r="D696" s="62" t="s">
        <v>15</v>
      </c>
      <c r="E696" s="53">
        <f>SUM(F696:N696)</f>
        <v>9</v>
      </c>
      <c r="F696" s="63"/>
      <c r="G696" s="63"/>
      <c r="H696" s="63"/>
      <c r="I696" s="63">
        <v>9</v>
      </c>
      <c r="J696" s="63"/>
      <c r="K696" s="63"/>
      <c r="L696" s="63"/>
      <c r="M696" s="63"/>
      <c r="N696" s="63"/>
      <c r="O696" s="64" t="s">
        <v>844</v>
      </c>
      <c r="P696" s="56"/>
      <c r="Q696" s="57"/>
      <c r="R696" s="58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</row>
    <row r="697" spans="1:28" ht="14.4" x14ac:dyDescent="0.3">
      <c r="A697" s="50"/>
      <c r="B697" s="61">
        <v>43738</v>
      </c>
      <c r="C697" s="62" t="s">
        <v>38</v>
      </c>
      <c r="D697" s="62" t="s">
        <v>39</v>
      </c>
      <c r="E697" s="53">
        <f>SUM(F697:N697)</f>
        <v>15</v>
      </c>
      <c r="F697" s="63"/>
      <c r="G697" s="63">
        <v>4</v>
      </c>
      <c r="H697" s="63"/>
      <c r="I697" s="63">
        <v>2</v>
      </c>
      <c r="J697" s="63">
        <v>7</v>
      </c>
      <c r="K697" s="63">
        <v>2</v>
      </c>
      <c r="L697" s="63"/>
      <c r="M697" s="63"/>
      <c r="N697" s="63"/>
      <c r="O697" s="64" t="s">
        <v>512</v>
      </c>
      <c r="P697" s="56"/>
      <c r="Q697" s="57"/>
      <c r="R697" s="58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</row>
    <row r="698" spans="1:28" ht="14.4" x14ac:dyDescent="0.3">
      <c r="A698" s="50"/>
      <c r="B698" s="61">
        <v>43738</v>
      </c>
      <c r="C698" s="62" t="s">
        <v>103</v>
      </c>
      <c r="D698" s="62" t="s">
        <v>104</v>
      </c>
      <c r="E698" s="53">
        <f>SUM(F698:N698)</f>
        <v>1</v>
      </c>
      <c r="F698" s="63"/>
      <c r="G698" s="63"/>
      <c r="H698" s="63"/>
      <c r="I698" s="63"/>
      <c r="J698" s="63">
        <v>1</v>
      </c>
      <c r="K698" s="63"/>
      <c r="L698" s="63"/>
      <c r="M698" s="63"/>
      <c r="N698" s="63"/>
      <c r="O698" s="64" t="s">
        <v>400</v>
      </c>
      <c r="P698" s="56"/>
      <c r="Q698" s="57"/>
      <c r="R698" s="58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</row>
    <row r="699" spans="1:28" ht="14.4" x14ac:dyDescent="0.3">
      <c r="A699" s="50"/>
      <c r="B699" s="61">
        <v>43738</v>
      </c>
      <c r="C699" s="62" t="s">
        <v>26</v>
      </c>
      <c r="D699" s="62" t="s">
        <v>27</v>
      </c>
      <c r="E699" s="53">
        <f>SUM(F699:N699)</f>
        <v>10</v>
      </c>
      <c r="F699" s="63"/>
      <c r="G699" s="63">
        <v>1</v>
      </c>
      <c r="H699" s="63">
        <v>2</v>
      </c>
      <c r="I699" s="63"/>
      <c r="J699" s="63">
        <v>7</v>
      </c>
      <c r="K699" s="63"/>
      <c r="L699" s="63"/>
      <c r="M699" s="63"/>
      <c r="N699" s="63"/>
      <c r="O699" s="64" t="s">
        <v>561</v>
      </c>
      <c r="P699" s="56"/>
      <c r="Q699" s="57"/>
      <c r="R699" s="58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</row>
    <row r="700" spans="1:28" ht="14.4" x14ac:dyDescent="0.3">
      <c r="A700" s="50"/>
      <c r="B700" s="61">
        <v>43738</v>
      </c>
      <c r="C700" s="62" t="s">
        <v>41</v>
      </c>
      <c r="D700" s="62" t="s">
        <v>42</v>
      </c>
      <c r="E700" s="53">
        <f>SUM(F700:N700)</f>
        <v>4</v>
      </c>
      <c r="F700" s="63"/>
      <c r="G700" s="63"/>
      <c r="H700" s="63">
        <v>2</v>
      </c>
      <c r="I700" s="63"/>
      <c r="J700" s="63"/>
      <c r="K700" s="63">
        <v>2</v>
      </c>
      <c r="L700" s="63"/>
      <c r="M700" s="63"/>
      <c r="N700" s="63"/>
      <c r="O700" s="64" t="s">
        <v>584</v>
      </c>
      <c r="P700" s="56"/>
      <c r="Q700" s="57"/>
      <c r="R700" s="58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</row>
    <row r="701" spans="1:28" ht="14.4" x14ac:dyDescent="0.3">
      <c r="A701" s="78"/>
      <c r="B701" s="61">
        <v>43739</v>
      </c>
      <c r="C701" s="62" t="s">
        <v>92</v>
      </c>
      <c r="D701" s="62" t="s">
        <v>69</v>
      </c>
      <c r="E701" s="53">
        <f>SUM(F701:N701)</f>
        <v>1</v>
      </c>
      <c r="F701" s="63"/>
      <c r="G701" s="63"/>
      <c r="H701" s="63"/>
      <c r="I701" s="63"/>
      <c r="J701" s="63">
        <v>1</v>
      </c>
      <c r="K701" s="63"/>
      <c r="L701" s="63"/>
      <c r="M701" s="63"/>
      <c r="N701" s="63"/>
      <c r="O701" s="64" t="s">
        <v>250</v>
      </c>
      <c r="P701" s="56"/>
      <c r="Q701" s="57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 spans="1:28" ht="14.4" x14ac:dyDescent="0.3">
      <c r="A702" s="79"/>
      <c r="B702" s="51">
        <v>43739</v>
      </c>
      <c r="C702" s="80" t="s">
        <v>29</v>
      </c>
      <c r="D702" s="80" t="s">
        <v>30</v>
      </c>
      <c r="E702" s="53">
        <f>SUM(F702:N702)</f>
        <v>11</v>
      </c>
      <c r="F702" s="81"/>
      <c r="G702" s="81">
        <v>7</v>
      </c>
      <c r="H702" s="81"/>
      <c r="I702" s="81"/>
      <c r="J702" s="81">
        <v>3</v>
      </c>
      <c r="K702" s="81">
        <v>1</v>
      </c>
      <c r="L702" s="81"/>
      <c r="M702" s="81"/>
      <c r="N702" s="81"/>
      <c r="O702" s="64" t="s">
        <v>744</v>
      </c>
      <c r="P702" s="56"/>
      <c r="Q702" s="57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 spans="1:28" ht="14.4" x14ac:dyDescent="0.3">
      <c r="A703" s="79"/>
      <c r="B703" s="51">
        <v>43739</v>
      </c>
      <c r="C703" s="80" t="s">
        <v>32</v>
      </c>
      <c r="D703" s="80" t="s">
        <v>33</v>
      </c>
      <c r="E703" s="53">
        <f>SUM(F703:N703)</f>
        <v>4</v>
      </c>
      <c r="F703" s="81"/>
      <c r="G703" s="81">
        <v>1</v>
      </c>
      <c r="H703" s="81"/>
      <c r="I703" s="81"/>
      <c r="J703" s="81">
        <v>2</v>
      </c>
      <c r="K703" s="81">
        <v>1</v>
      </c>
      <c r="L703" s="81"/>
      <c r="M703" s="81"/>
      <c r="N703" s="81"/>
      <c r="O703" s="64" t="s">
        <v>666</v>
      </c>
      <c r="P703" s="56"/>
      <c r="Q703" s="57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 spans="1:28" ht="14.4" x14ac:dyDescent="0.3">
      <c r="A704" s="79"/>
      <c r="B704" s="51">
        <v>43743</v>
      </c>
      <c r="C704" s="80" t="s">
        <v>94</v>
      </c>
      <c r="D704" s="80" t="s">
        <v>95</v>
      </c>
      <c r="E704" s="53">
        <f>SUM(F704:N704)</f>
        <v>3</v>
      </c>
      <c r="F704" s="81"/>
      <c r="G704" s="81"/>
      <c r="H704" s="81"/>
      <c r="I704" s="81"/>
      <c r="J704" s="81">
        <v>2</v>
      </c>
      <c r="K704" s="81"/>
      <c r="L704" s="81">
        <v>1</v>
      </c>
      <c r="M704" s="81"/>
      <c r="N704" s="81"/>
      <c r="O704" s="64" t="s">
        <v>592</v>
      </c>
      <c r="P704" s="56"/>
      <c r="Q704" s="57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 spans="1:28" ht="14.4" x14ac:dyDescent="0.3">
      <c r="A705" s="79"/>
      <c r="B705" s="51">
        <v>43743</v>
      </c>
      <c r="C705" s="80" t="s">
        <v>20</v>
      </c>
      <c r="D705" s="80" t="s">
        <v>21</v>
      </c>
      <c r="E705" s="53">
        <f>SUM(F705:N705)</f>
        <v>2</v>
      </c>
      <c r="F705" s="81"/>
      <c r="G705" s="81"/>
      <c r="H705" s="81"/>
      <c r="I705" s="81"/>
      <c r="J705" s="81">
        <v>1</v>
      </c>
      <c r="K705" s="81">
        <v>1</v>
      </c>
      <c r="L705" s="81"/>
      <c r="M705" s="81"/>
      <c r="N705" s="81"/>
      <c r="O705" s="64" t="s">
        <v>449</v>
      </c>
      <c r="P705" s="56"/>
      <c r="Q705" s="57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 spans="1:28" ht="14.4" x14ac:dyDescent="0.3">
      <c r="A706" s="79"/>
      <c r="B706" s="51">
        <v>43743</v>
      </c>
      <c r="C706" s="80" t="s">
        <v>14</v>
      </c>
      <c r="D706" s="80" t="s">
        <v>15</v>
      </c>
      <c r="E706" s="53">
        <f>SUM(F706:N706)</f>
        <v>15</v>
      </c>
      <c r="F706" s="81"/>
      <c r="G706" s="81">
        <v>1</v>
      </c>
      <c r="H706" s="81">
        <v>1</v>
      </c>
      <c r="I706" s="81"/>
      <c r="J706" s="81">
        <v>8</v>
      </c>
      <c r="K706" s="81">
        <v>4</v>
      </c>
      <c r="L706" s="81">
        <v>1</v>
      </c>
      <c r="M706" s="81"/>
      <c r="N706" s="81"/>
      <c r="O706" s="64" t="s">
        <v>845</v>
      </c>
      <c r="P706" s="56"/>
      <c r="Q706" s="57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 spans="1:28" ht="14.4" x14ac:dyDescent="0.3">
      <c r="A707" s="79"/>
      <c r="B707" s="51">
        <v>43744</v>
      </c>
      <c r="C707" s="80" t="s">
        <v>29</v>
      </c>
      <c r="D707" s="80" t="s">
        <v>30</v>
      </c>
      <c r="E707" s="53">
        <f>SUM(F707:N707)</f>
        <v>2</v>
      </c>
      <c r="F707" s="81"/>
      <c r="G707" s="81">
        <v>1</v>
      </c>
      <c r="H707" s="81"/>
      <c r="I707" s="81"/>
      <c r="J707" s="81">
        <v>1</v>
      </c>
      <c r="K707" s="81"/>
      <c r="L707" s="81"/>
      <c r="M707" s="81"/>
      <c r="N707" s="81"/>
      <c r="O707" s="64" t="s">
        <v>745</v>
      </c>
      <c r="P707" s="56"/>
      <c r="Q707" s="57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 spans="1:28" ht="14.4" x14ac:dyDescent="0.3">
      <c r="A708" s="79"/>
      <c r="B708" s="51">
        <v>43744</v>
      </c>
      <c r="C708" s="80" t="s">
        <v>23</v>
      </c>
      <c r="D708" s="80" t="s">
        <v>24</v>
      </c>
      <c r="E708" s="53">
        <f>SUM(F708:N708)</f>
        <v>14</v>
      </c>
      <c r="F708" s="81"/>
      <c r="G708" s="81"/>
      <c r="H708" s="81"/>
      <c r="I708" s="81">
        <v>10</v>
      </c>
      <c r="J708" s="81">
        <v>2</v>
      </c>
      <c r="K708" s="81">
        <v>1</v>
      </c>
      <c r="L708" s="81">
        <v>1</v>
      </c>
      <c r="M708" s="81"/>
      <c r="N708" s="81"/>
      <c r="O708" s="64" t="s">
        <v>891</v>
      </c>
      <c r="P708" s="56"/>
      <c r="Q708" s="57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 spans="1:28" ht="14.4" x14ac:dyDescent="0.3">
      <c r="A709" s="79"/>
      <c r="B709" s="51">
        <v>43744</v>
      </c>
      <c r="C709" s="80" t="s">
        <v>35</v>
      </c>
      <c r="D709" s="80" t="s">
        <v>36</v>
      </c>
      <c r="E709" s="53">
        <f>SUM(F709:N709)</f>
        <v>1</v>
      </c>
      <c r="F709" s="81"/>
      <c r="G709" s="81"/>
      <c r="H709" s="81"/>
      <c r="I709" s="81"/>
      <c r="J709" s="81"/>
      <c r="K709" s="81">
        <v>1</v>
      </c>
      <c r="L709" s="81"/>
      <c r="M709" s="81"/>
      <c r="N709" s="81"/>
      <c r="O709" s="64" t="s">
        <v>484</v>
      </c>
      <c r="P709" s="56"/>
      <c r="Q709" s="57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 spans="1:28" ht="14.4" x14ac:dyDescent="0.3">
      <c r="A710" s="79"/>
      <c r="B710" s="51">
        <v>43744</v>
      </c>
      <c r="C710" s="80" t="s">
        <v>17</v>
      </c>
      <c r="D710" s="80" t="s">
        <v>18</v>
      </c>
      <c r="E710" s="53">
        <f>SUM(F710:N710)</f>
        <v>12</v>
      </c>
      <c r="F710" s="81"/>
      <c r="G710" s="81"/>
      <c r="H710" s="81">
        <v>4</v>
      </c>
      <c r="I710" s="81"/>
      <c r="J710" s="81">
        <v>5</v>
      </c>
      <c r="K710" s="81"/>
      <c r="L710" s="81">
        <v>3</v>
      </c>
      <c r="M710" s="81"/>
      <c r="N710" s="81"/>
      <c r="O710" s="64" t="s">
        <v>311</v>
      </c>
      <c r="P710" s="56"/>
      <c r="Q710" s="68" t="s">
        <v>962</v>
      </c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 spans="1:28" ht="14.4" x14ac:dyDescent="0.3">
      <c r="A711" s="79"/>
      <c r="B711" s="51">
        <v>43744</v>
      </c>
      <c r="C711" s="80" t="s">
        <v>20</v>
      </c>
      <c r="D711" s="80" t="s">
        <v>21</v>
      </c>
      <c r="E711" s="53">
        <f>SUM(F711:N711)</f>
        <v>11</v>
      </c>
      <c r="F711" s="81"/>
      <c r="G711" s="81">
        <v>2</v>
      </c>
      <c r="H711" s="81"/>
      <c r="I711" s="81"/>
      <c r="J711" s="81">
        <v>7</v>
      </c>
      <c r="K711" s="81">
        <v>1</v>
      </c>
      <c r="L711" s="81"/>
      <c r="M711" s="81">
        <v>1</v>
      </c>
      <c r="N711" s="81"/>
      <c r="O711" s="64" t="s">
        <v>450</v>
      </c>
      <c r="P711" s="56"/>
      <c r="Q711" s="57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 spans="1:28" ht="14.4" x14ac:dyDescent="0.3">
      <c r="A712" s="79"/>
      <c r="B712" s="51">
        <v>43745</v>
      </c>
      <c r="C712" s="80" t="s">
        <v>71</v>
      </c>
      <c r="D712" s="80" t="s">
        <v>72</v>
      </c>
      <c r="E712" s="53">
        <f>SUM(F712:N712)</f>
        <v>1</v>
      </c>
      <c r="F712" s="81"/>
      <c r="G712" s="81"/>
      <c r="H712" s="81">
        <v>1</v>
      </c>
      <c r="I712" s="81"/>
      <c r="J712" s="81"/>
      <c r="K712" s="81"/>
      <c r="L712" s="81"/>
      <c r="M712" s="81"/>
      <c r="N712" s="81"/>
      <c r="O712" s="64" t="s">
        <v>628</v>
      </c>
      <c r="P712" s="56"/>
      <c r="Q712" s="57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 spans="1:28" ht="14.4" x14ac:dyDescent="0.3">
      <c r="A713" s="79"/>
      <c r="B713" s="51">
        <v>43745</v>
      </c>
      <c r="C713" s="80" t="s">
        <v>32</v>
      </c>
      <c r="D713" s="80" t="s">
        <v>33</v>
      </c>
      <c r="E713" s="53">
        <f>SUM(F713:N713)</f>
        <v>1</v>
      </c>
      <c r="F713" s="81"/>
      <c r="G713" s="81"/>
      <c r="H713" s="81"/>
      <c r="I713" s="81"/>
      <c r="J713" s="81"/>
      <c r="K713" s="81">
        <v>1</v>
      </c>
      <c r="L713" s="81"/>
      <c r="M713" s="81"/>
      <c r="N713" s="81"/>
      <c r="O713" s="64" t="s">
        <v>667</v>
      </c>
      <c r="P713" s="56"/>
      <c r="Q713" s="57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 spans="1:28" ht="14.4" x14ac:dyDescent="0.3">
      <c r="A714" s="79"/>
      <c r="B714" s="51">
        <v>43746</v>
      </c>
      <c r="C714" s="80" t="s">
        <v>14</v>
      </c>
      <c r="D714" s="80" t="s">
        <v>15</v>
      </c>
      <c r="E714" s="53">
        <f>SUM(F714:N714)</f>
        <v>10</v>
      </c>
      <c r="F714" s="81"/>
      <c r="G714" s="81">
        <v>7</v>
      </c>
      <c r="H714" s="81"/>
      <c r="I714" s="81"/>
      <c r="J714" s="81">
        <v>1</v>
      </c>
      <c r="K714" s="81">
        <v>2</v>
      </c>
      <c r="L714" s="81"/>
      <c r="M714" s="81"/>
      <c r="N714" s="81"/>
      <c r="O714" s="64" t="s">
        <v>846</v>
      </c>
      <c r="P714" s="56"/>
      <c r="Q714" s="57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 spans="1:28" ht="14.4" x14ac:dyDescent="0.3">
      <c r="A715" s="79"/>
      <c r="B715" s="51">
        <v>43749</v>
      </c>
      <c r="C715" s="80" t="s">
        <v>20</v>
      </c>
      <c r="D715" s="80" t="s">
        <v>21</v>
      </c>
      <c r="E715" s="53">
        <f>SUM(F715:N715)</f>
        <v>2</v>
      </c>
      <c r="F715" s="81"/>
      <c r="G715" s="81">
        <v>1</v>
      </c>
      <c r="H715" s="81"/>
      <c r="I715" s="81"/>
      <c r="J715" s="81">
        <v>1</v>
      </c>
      <c r="K715" s="81"/>
      <c r="L715" s="81"/>
      <c r="M715" s="81"/>
      <c r="N715" s="81"/>
      <c r="O715" s="64" t="s">
        <v>451</v>
      </c>
      <c r="P715" s="56"/>
      <c r="Q715" s="57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 spans="1:28" ht="14.4" x14ac:dyDescent="0.3">
      <c r="A716" s="79"/>
      <c r="B716" s="51">
        <v>43749</v>
      </c>
      <c r="C716" s="80" t="s">
        <v>17</v>
      </c>
      <c r="D716" s="80" t="s">
        <v>18</v>
      </c>
      <c r="E716" s="53">
        <f>SUM(F716:N716)</f>
        <v>9</v>
      </c>
      <c r="F716" s="81"/>
      <c r="G716" s="81">
        <v>4</v>
      </c>
      <c r="H716" s="81">
        <v>2</v>
      </c>
      <c r="I716" s="81"/>
      <c r="J716" s="81">
        <v>3</v>
      </c>
      <c r="K716" s="81"/>
      <c r="L716" s="81"/>
      <c r="M716" s="81"/>
      <c r="N716" s="81"/>
      <c r="O716" s="64" t="s">
        <v>312</v>
      </c>
      <c r="P716" s="56"/>
      <c r="Q716" s="57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 spans="1:28" ht="14.4" x14ac:dyDescent="0.3">
      <c r="A717" s="79"/>
      <c r="B717" s="51">
        <v>43749</v>
      </c>
      <c r="C717" s="80" t="s">
        <v>14</v>
      </c>
      <c r="D717" s="80" t="s">
        <v>15</v>
      </c>
      <c r="E717" s="53">
        <f>SUM(F717:N717)</f>
        <v>6</v>
      </c>
      <c r="F717" s="81"/>
      <c r="G717" s="81">
        <v>1</v>
      </c>
      <c r="H717" s="81"/>
      <c r="I717" s="81"/>
      <c r="J717" s="81">
        <v>2</v>
      </c>
      <c r="K717" s="81">
        <v>3</v>
      </c>
      <c r="L717" s="81"/>
      <c r="M717" s="81"/>
      <c r="N717" s="81"/>
      <c r="O717" s="64" t="s">
        <v>847</v>
      </c>
      <c r="P717" s="56"/>
      <c r="Q717" s="57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 spans="1:28" ht="14.4" x14ac:dyDescent="0.3">
      <c r="A718" s="79"/>
      <c r="B718" s="51">
        <v>43750</v>
      </c>
      <c r="C718" s="80" t="s">
        <v>92</v>
      </c>
      <c r="D718" s="80" t="s">
        <v>69</v>
      </c>
      <c r="E718" s="53">
        <f>SUM(F718:N718)</f>
        <v>2</v>
      </c>
      <c r="F718" s="81"/>
      <c r="G718" s="81">
        <v>1</v>
      </c>
      <c r="H718" s="81">
        <v>1</v>
      </c>
      <c r="I718" s="81"/>
      <c r="J718" s="81"/>
      <c r="K718" s="81"/>
      <c r="L718" s="81"/>
      <c r="M718" s="81"/>
      <c r="N718" s="81"/>
      <c r="O718" s="64" t="s">
        <v>770</v>
      </c>
      <c r="P718" s="56"/>
      <c r="Q718" s="68" t="s">
        <v>963</v>
      </c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 spans="1:28" ht="14.4" x14ac:dyDescent="0.3">
      <c r="A719" s="79"/>
      <c r="B719" s="51">
        <v>43750</v>
      </c>
      <c r="C719" s="80" t="s">
        <v>50</v>
      </c>
      <c r="D719" s="80" t="s">
        <v>51</v>
      </c>
      <c r="E719" s="53">
        <f>SUM(F719:N719)</f>
        <v>5</v>
      </c>
      <c r="F719" s="81"/>
      <c r="G719" s="81"/>
      <c r="H719" s="81"/>
      <c r="I719" s="81"/>
      <c r="J719" s="81">
        <v>5</v>
      </c>
      <c r="K719" s="81"/>
      <c r="L719" s="81"/>
      <c r="M719" s="81"/>
      <c r="N719" s="81"/>
      <c r="O719" s="64" t="s">
        <v>766</v>
      </c>
      <c r="P719" s="56"/>
      <c r="Q719" s="57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 spans="1:28" ht="14.4" x14ac:dyDescent="0.3">
      <c r="A720" s="79"/>
      <c r="B720" s="51">
        <v>43750</v>
      </c>
      <c r="C720" s="80" t="s">
        <v>65</v>
      </c>
      <c r="D720" s="80" t="s">
        <v>66</v>
      </c>
      <c r="E720" s="53">
        <f>SUM(F720:N720)</f>
        <v>5</v>
      </c>
      <c r="F720" s="81"/>
      <c r="G720" s="81"/>
      <c r="H720" s="81"/>
      <c r="I720" s="81"/>
      <c r="J720" s="81">
        <v>5</v>
      </c>
      <c r="K720" s="81"/>
      <c r="L720" s="81"/>
      <c r="M720" s="81"/>
      <c r="N720" s="81"/>
      <c r="O720" s="64" t="s">
        <v>766</v>
      </c>
      <c r="P720" s="56"/>
      <c r="Q720" s="57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 spans="1:28" ht="14.4" x14ac:dyDescent="0.3">
      <c r="A721" s="79"/>
      <c r="B721" s="51">
        <v>43750</v>
      </c>
      <c r="C721" s="80" t="s">
        <v>14</v>
      </c>
      <c r="D721" s="80" t="s">
        <v>15</v>
      </c>
      <c r="E721" s="53">
        <f>SUM(F721:N721)</f>
        <v>12</v>
      </c>
      <c r="F721" s="81"/>
      <c r="G721" s="81">
        <v>1</v>
      </c>
      <c r="H721" s="81">
        <v>1</v>
      </c>
      <c r="I721" s="81">
        <v>1</v>
      </c>
      <c r="J721" s="81">
        <v>6</v>
      </c>
      <c r="K721" s="81">
        <v>2</v>
      </c>
      <c r="L721" s="81">
        <v>1</v>
      </c>
      <c r="M721" s="81"/>
      <c r="N721" s="81"/>
      <c r="O721" s="64" t="s">
        <v>848</v>
      </c>
      <c r="P721" s="56"/>
      <c r="Q721" s="57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 spans="1:28" ht="14.4" x14ac:dyDescent="0.3">
      <c r="A722" s="79"/>
      <c r="B722" s="51">
        <v>43751</v>
      </c>
      <c r="C722" s="80" t="s">
        <v>17</v>
      </c>
      <c r="D722" s="80" t="s">
        <v>18</v>
      </c>
      <c r="E722" s="53">
        <f>SUM(F722:N722)</f>
        <v>1</v>
      </c>
      <c r="F722" s="81"/>
      <c r="G722" s="81"/>
      <c r="H722" s="81"/>
      <c r="I722" s="81"/>
      <c r="J722" s="81">
        <v>1</v>
      </c>
      <c r="K722" s="81"/>
      <c r="L722" s="81"/>
      <c r="M722" s="81"/>
      <c r="N722" s="81"/>
      <c r="O722" s="64" t="s">
        <v>313</v>
      </c>
      <c r="P722" s="56"/>
      <c r="Q722" s="57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 spans="1:28" ht="14.4" x14ac:dyDescent="0.3">
      <c r="A723" s="79"/>
      <c r="B723" s="51">
        <v>43751</v>
      </c>
      <c r="C723" s="80" t="s">
        <v>50</v>
      </c>
      <c r="D723" s="80" t="s">
        <v>51</v>
      </c>
      <c r="E723" s="53">
        <f>SUM(F723:N723)</f>
        <v>1</v>
      </c>
      <c r="F723" s="81"/>
      <c r="G723" s="81"/>
      <c r="H723" s="81"/>
      <c r="I723" s="81"/>
      <c r="J723" s="81">
        <v>1</v>
      </c>
      <c r="K723" s="81"/>
      <c r="L723" s="81"/>
      <c r="M723" s="81"/>
      <c r="N723" s="81"/>
      <c r="O723" s="64" t="s">
        <v>313</v>
      </c>
      <c r="P723" s="56"/>
      <c r="Q723" s="57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 spans="1:28" ht="14.4" x14ac:dyDescent="0.3">
      <c r="A724" s="79"/>
      <c r="B724" s="51">
        <v>43751</v>
      </c>
      <c r="C724" s="80" t="s">
        <v>23</v>
      </c>
      <c r="D724" s="80" t="s">
        <v>24</v>
      </c>
      <c r="E724" s="53">
        <f>SUM(F724:N724)</f>
        <v>16</v>
      </c>
      <c r="F724" s="81"/>
      <c r="G724" s="81"/>
      <c r="H724" s="81">
        <v>2</v>
      </c>
      <c r="I724" s="81">
        <v>11</v>
      </c>
      <c r="J724" s="81">
        <v>2</v>
      </c>
      <c r="K724" s="81"/>
      <c r="L724" s="81">
        <v>1</v>
      </c>
      <c r="M724" s="81"/>
      <c r="N724" s="81"/>
      <c r="O724" s="64" t="s">
        <v>892</v>
      </c>
      <c r="P724" s="56"/>
      <c r="Q724" s="57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 spans="1:28" ht="14.4" x14ac:dyDescent="0.3">
      <c r="A725" s="79"/>
      <c r="B725" s="51">
        <v>43751</v>
      </c>
      <c r="C725" s="80" t="s">
        <v>47</v>
      </c>
      <c r="D725" s="80" t="s">
        <v>48</v>
      </c>
      <c r="E725" s="53">
        <f>SUM(F725:N725)</f>
        <v>2</v>
      </c>
      <c r="F725" s="81"/>
      <c r="G725" s="81"/>
      <c r="H725" s="81"/>
      <c r="I725" s="81"/>
      <c r="J725" s="81">
        <v>2</v>
      </c>
      <c r="K725" s="81"/>
      <c r="L725" s="81"/>
      <c r="M725" s="81"/>
      <c r="N725" s="81"/>
      <c r="O725" s="64" t="s">
        <v>352</v>
      </c>
      <c r="P725" s="56"/>
      <c r="Q725" s="57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 spans="1:28" ht="14.4" x14ac:dyDescent="0.3">
      <c r="A726" s="79"/>
      <c r="B726" s="51">
        <v>43751</v>
      </c>
      <c r="C726" s="80" t="s">
        <v>14</v>
      </c>
      <c r="D726" s="80" t="s">
        <v>15</v>
      </c>
      <c r="E726" s="53">
        <f>SUM(F726:N726)</f>
        <v>11</v>
      </c>
      <c r="F726" s="81"/>
      <c r="G726" s="81">
        <v>4</v>
      </c>
      <c r="H726" s="81">
        <v>1</v>
      </c>
      <c r="I726" s="81"/>
      <c r="J726" s="81">
        <v>6</v>
      </c>
      <c r="K726" s="81"/>
      <c r="L726" s="81"/>
      <c r="M726" s="81"/>
      <c r="N726" s="81"/>
      <c r="O726" s="64" t="s">
        <v>849</v>
      </c>
      <c r="P726" s="56"/>
      <c r="Q726" s="57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 spans="1:28" ht="14.4" x14ac:dyDescent="0.3">
      <c r="A727" s="79"/>
      <c r="B727" s="51">
        <v>43752</v>
      </c>
      <c r="C727" s="80" t="s">
        <v>71</v>
      </c>
      <c r="D727" s="80" t="s">
        <v>72</v>
      </c>
      <c r="E727" s="53">
        <f>SUM(F727:N727)</f>
        <v>1</v>
      </c>
      <c r="F727" s="81"/>
      <c r="G727" s="81"/>
      <c r="H727" s="81"/>
      <c r="I727" s="81"/>
      <c r="J727" s="81"/>
      <c r="K727" s="81"/>
      <c r="L727" s="81">
        <v>1</v>
      </c>
      <c r="M727" s="81"/>
      <c r="N727" s="81"/>
      <c r="O727" s="64" t="s">
        <v>629</v>
      </c>
      <c r="P727" s="56"/>
      <c r="Q727" s="57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 spans="1:28" ht="14.4" x14ac:dyDescent="0.3">
      <c r="A728" s="79"/>
      <c r="B728" s="51">
        <v>43752</v>
      </c>
      <c r="C728" s="80" t="s">
        <v>32</v>
      </c>
      <c r="D728" s="80" t="s">
        <v>33</v>
      </c>
      <c r="E728" s="53">
        <f>SUM(F728:N728)</f>
        <v>3</v>
      </c>
      <c r="F728" s="81"/>
      <c r="G728" s="81">
        <v>2</v>
      </c>
      <c r="H728" s="81">
        <v>1</v>
      </c>
      <c r="I728" s="81"/>
      <c r="J728" s="81"/>
      <c r="K728" s="81"/>
      <c r="L728" s="81"/>
      <c r="M728" s="81"/>
      <c r="N728" s="81"/>
      <c r="O728" s="64" t="s">
        <v>668</v>
      </c>
      <c r="P728" s="56"/>
      <c r="Q728" s="57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 spans="1:28" ht="14.4" x14ac:dyDescent="0.3">
      <c r="A729" s="79"/>
      <c r="B729" s="51">
        <v>43754</v>
      </c>
      <c r="C729" s="80" t="s">
        <v>17</v>
      </c>
      <c r="D729" s="80" t="s">
        <v>18</v>
      </c>
      <c r="E729" s="53">
        <f>SUM(F729:N729)</f>
        <v>2</v>
      </c>
      <c r="F729" s="81"/>
      <c r="G729" s="81"/>
      <c r="H729" s="81">
        <v>1</v>
      </c>
      <c r="I729" s="81">
        <v>1</v>
      </c>
      <c r="J729" s="81"/>
      <c r="K729" s="81"/>
      <c r="L729" s="81"/>
      <c r="M729" s="81"/>
      <c r="N729" s="81"/>
      <c r="O729" s="64" t="s">
        <v>314</v>
      </c>
      <c r="P729" s="56"/>
      <c r="Q729" s="57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 spans="1:28" ht="14.4" x14ac:dyDescent="0.3">
      <c r="A730" s="79"/>
      <c r="B730" s="51">
        <v>43754</v>
      </c>
      <c r="C730" s="80" t="s">
        <v>20</v>
      </c>
      <c r="D730" s="80" t="s">
        <v>21</v>
      </c>
      <c r="E730" s="53">
        <f>SUM(F730:N730)</f>
        <v>2</v>
      </c>
      <c r="F730" s="81"/>
      <c r="G730" s="81">
        <v>1</v>
      </c>
      <c r="H730" s="81"/>
      <c r="I730" s="81"/>
      <c r="J730" s="81">
        <v>1</v>
      </c>
      <c r="K730" s="81"/>
      <c r="L730" s="81"/>
      <c r="M730" s="81"/>
      <c r="N730" s="81"/>
      <c r="O730" s="64" t="s">
        <v>452</v>
      </c>
      <c r="P730" s="56"/>
      <c r="Q730" s="57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 spans="1:28" ht="14.4" x14ac:dyDescent="0.3">
      <c r="A731" s="79"/>
      <c r="B731" s="51">
        <v>43756</v>
      </c>
      <c r="C731" s="80" t="s">
        <v>53</v>
      </c>
      <c r="D731" s="80" t="s">
        <v>54</v>
      </c>
      <c r="E731" s="53">
        <f>SUM(F731:N731)</f>
        <v>4</v>
      </c>
      <c r="F731" s="81"/>
      <c r="G731" s="81"/>
      <c r="H731" s="81">
        <v>1</v>
      </c>
      <c r="I731" s="81"/>
      <c r="J731" s="81"/>
      <c r="K731" s="81">
        <v>1</v>
      </c>
      <c r="L731" s="81">
        <v>2</v>
      </c>
      <c r="M731" s="81"/>
      <c r="N731" s="81"/>
      <c r="O731" s="64" t="s">
        <v>367</v>
      </c>
      <c r="P731" s="56"/>
      <c r="Q731" s="57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 spans="1:28" ht="14.4" x14ac:dyDescent="0.3">
      <c r="A732" s="79"/>
      <c r="B732" s="51">
        <v>43757</v>
      </c>
      <c r="C732" s="80" t="s">
        <v>44</v>
      </c>
      <c r="D732" s="80" t="s">
        <v>45</v>
      </c>
      <c r="E732" s="53">
        <f>SUM(F732:N732)</f>
        <v>4</v>
      </c>
      <c r="F732" s="81"/>
      <c r="G732" s="81">
        <v>1</v>
      </c>
      <c r="H732" s="81"/>
      <c r="I732" s="81"/>
      <c r="J732" s="81">
        <v>3</v>
      </c>
      <c r="K732" s="81"/>
      <c r="L732" s="81"/>
      <c r="M732" s="81"/>
      <c r="N732" s="81"/>
      <c r="O732" s="64" t="s">
        <v>392</v>
      </c>
      <c r="P732" s="56"/>
      <c r="Q732" s="57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 spans="1:28" ht="14.4" x14ac:dyDescent="0.3">
      <c r="A733" s="79"/>
      <c r="B733" s="51">
        <v>43757</v>
      </c>
      <c r="C733" s="80" t="s">
        <v>53</v>
      </c>
      <c r="D733" s="80" t="s">
        <v>54</v>
      </c>
      <c r="E733" s="53">
        <f>SUM(F733:N733)</f>
        <v>5</v>
      </c>
      <c r="F733" s="81"/>
      <c r="G733" s="81"/>
      <c r="H733" s="81"/>
      <c r="I733" s="81">
        <v>4</v>
      </c>
      <c r="J733" s="81">
        <v>1</v>
      </c>
      <c r="K733" s="81"/>
      <c r="L733" s="81"/>
      <c r="M733" s="81"/>
      <c r="N733" s="81"/>
      <c r="O733" s="64" t="s">
        <v>368</v>
      </c>
      <c r="P733" s="56"/>
      <c r="Q733" s="57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 spans="1:28" ht="14.4" x14ac:dyDescent="0.3">
      <c r="A734" s="79"/>
      <c r="B734" s="51">
        <v>43757</v>
      </c>
      <c r="C734" s="80" t="s">
        <v>35</v>
      </c>
      <c r="D734" s="80" t="s">
        <v>36</v>
      </c>
      <c r="E734" s="53">
        <f>SUM(F734:N734)</f>
        <v>12</v>
      </c>
      <c r="F734" s="81"/>
      <c r="G734" s="81"/>
      <c r="H734" s="81">
        <v>2</v>
      </c>
      <c r="I734" s="81">
        <v>3</v>
      </c>
      <c r="J734" s="81">
        <v>6</v>
      </c>
      <c r="K734" s="81">
        <v>1</v>
      </c>
      <c r="L734" s="81"/>
      <c r="M734" s="81"/>
      <c r="N734" s="81"/>
      <c r="O734" s="64" t="s">
        <v>485</v>
      </c>
      <c r="P734" s="56"/>
      <c r="Q734" s="57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 spans="1:28" ht="14.4" x14ac:dyDescent="0.3">
      <c r="A735" s="79"/>
      <c r="B735" s="51">
        <v>43757</v>
      </c>
      <c r="C735" s="80" t="s">
        <v>14</v>
      </c>
      <c r="D735" s="80" t="s">
        <v>15</v>
      </c>
      <c r="E735" s="53">
        <f>SUM(F735:N735)</f>
        <v>9</v>
      </c>
      <c r="F735" s="81"/>
      <c r="G735" s="81"/>
      <c r="H735" s="81"/>
      <c r="I735" s="81"/>
      <c r="J735" s="81">
        <v>5</v>
      </c>
      <c r="K735" s="81">
        <v>3</v>
      </c>
      <c r="L735" s="81">
        <v>1</v>
      </c>
      <c r="M735" s="81"/>
      <c r="N735" s="81"/>
      <c r="O735" s="64" t="s">
        <v>850</v>
      </c>
      <c r="P735" s="56"/>
      <c r="Q735" s="57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 spans="1:28" ht="14.4" x14ac:dyDescent="0.3">
      <c r="A736" s="79"/>
      <c r="B736" s="51">
        <v>43758</v>
      </c>
      <c r="C736" s="80" t="s">
        <v>41</v>
      </c>
      <c r="D736" s="80" t="s">
        <v>42</v>
      </c>
      <c r="E736" s="53">
        <f>SUM(F736:N736)</f>
        <v>2</v>
      </c>
      <c r="F736" s="81"/>
      <c r="G736" s="81"/>
      <c r="H736" s="81"/>
      <c r="I736" s="81"/>
      <c r="J736" s="81">
        <v>2</v>
      </c>
      <c r="K736" s="81"/>
      <c r="L736" s="81"/>
      <c r="M736" s="81"/>
      <c r="N736" s="81"/>
      <c r="O736" s="64" t="s">
        <v>585</v>
      </c>
      <c r="P736" s="56"/>
      <c r="Q736" s="57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 spans="1:28" ht="14.4" x14ac:dyDescent="0.3">
      <c r="A737" s="79"/>
      <c r="B737" s="51">
        <v>43758</v>
      </c>
      <c r="C737" s="80" t="s">
        <v>50</v>
      </c>
      <c r="D737" s="80" t="s">
        <v>51</v>
      </c>
      <c r="E737" s="53">
        <f>SUM(F737:N737)</f>
        <v>2</v>
      </c>
      <c r="F737" s="81"/>
      <c r="G737" s="81"/>
      <c r="H737" s="81">
        <v>1</v>
      </c>
      <c r="I737" s="81"/>
      <c r="J737" s="81">
        <v>1</v>
      </c>
      <c r="K737" s="81"/>
      <c r="L737" s="81"/>
      <c r="M737" s="81"/>
      <c r="N737" s="81"/>
      <c r="O737" s="64" t="s">
        <v>315</v>
      </c>
      <c r="P737" s="56"/>
      <c r="Q737" s="57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 spans="1:28" ht="14.4" x14ac:dyDescent="0.3">
      <c r="A738" s="79"/>
      <c r="B738" s="51">
        <v>43758</v>
      </c>
      <c r="C738" s="80" t="s">
        <v>65</v>
      </c>
      <c r="D738" s="80" t="s">
        <v>66</v>
      </c>
      <c r="E738" s="53">
        <f>SUM(F738:N738)</f>
        <v>2</v>
      </c>
      <c r="F738" s="81"/>
      <c r="G738" s="81"/>
      <c r="H738" s="81">
        <v>1</v>
      </c>
      <c r="I738" s="81"/>
      <c r="J738" s="81">
        <v>1</v>
      </c>
      <c r="K738" s="81"/>
      <c r="L738" s="81"/>
      <c r="M738" s="81"/>
      <c r="N738" s="81"/>
      <c r="O738" s="64" t="s">
        <v>315</v>
      </c>
      <c r="P738" s="56"/>
      <c r="Q738" s="57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 spans="1:28" ht="14.4" x14ac:dyDescent="0.3">
      <c r="A739" s="79"/>
      <c r="B739" s="51">
        <v>43758</v>
      </c>
      <c r="C739" s="80" t="s">
        <v>17</v>
      </c>
      <c r="D739" s="80" t="s">
        <v>18</v>
      </c>
      <c r="E739" s="53">
        <f>SUM(F739:N739)</f>
        <v>2</v>
      </c>
      <c r="F739" s="81"/>
      <c r="G739" s="81"/>
      <c r="H739" s="81">
        <v>1</v>
      </c>
      <c r="I739" s="81"/>
      <c r="J739" s="81">
        <v>1</v>
      </c>
      <c r="K739" s="81"/>
      <c r="L739" s="81"/>
      <c r="M739" s="81"/>
      <c r="N739" s="81"/>
      <c r="O739" s="64" t="s">
        <v>315</v>
      </c>
      <c r="P739" s="56"/>
      <c r="Q739" s="57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 spans="1:28" ht="14.4" x14ac:dyDescent="0.3">
      <c r="A740" s="79"/>
      <c r="B740" s="51">
        <v>43758</v>
      </c>
      <c r="C740" s="80" t="s">
        <v>56</v>
      </c>
      <c r="D740" s="80" t="s">
        <v>57</v>
      </c>
      <c r="E740" s="53">
        <f>SUM(F740:N740)</f>
        <v>13</v>
      </c>
      <c r="F740" s="81">
        <v>1</v>
      </c>
      <c r="G740" s="81">
        <v>2</v>
      </c>
      <c r="H740" s="81">
        <v>1</v>
      </c>
      <c r="I740" s="81">
        <v>3</v>
      </c>
      <c r="J740" s="81">
        <v>2</v>
      </c>
      <c r="K740" s="81">
        <v>2</v>
      </c>
      <c r="L740" s="81">
        <v>2</v>
      </c>
      <c r="M740" s="81"/>
      <c r="N740" s="81"/>
      <c r="O740" s="64" t="s">
        <v>223</v>
      </c>
      <c r="P740" s="56"/>
      <c r="Q740" s="57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 spans="1:28" ht="14.4" x14ac:dyDescent="0.3">
      <c r="A741" s="79"/>
      <c r="B741" s="51">
        <v>43758</v>
      </c>
      <c r="C741" s="80" t="s">
        <v>26</v>
      </c>
      <c r="D741" s="80" t="s">
        <v>27</v>
      </c>
      <c r="E741" s="53">
        <f>SUM(F741:N741)</f>
        <v>5</v>
      </c>
      <c r="F741" s="81"/>
      <c r="G741" s="81"/>
      <c r="H741" s="81">
        <v>1</v>
      </c>
      <c r="I741" s="81"/>
      <c r="J741" s="81">
        <v>4</v>
      </c>
      <c r="K741" s="81"/>
      <c r="L741" s="81"/>
      <c r="M741" s="81"/>
      <c r="N741" s="81"/>
      <c r="O741" s="64" t="s">
        <v>562</v>
      </c>
      <c r="P741" s="56"/>
      <c r="Q741" s="57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 spans="1:28" ht="14.4" x14ac:dyDescent="0.3">
      <c r="A742" s="79"/>
      <c r="B742" s="51">
        <v>43758</v>
      </c>
      <c r="C742" s="80" t="s">
        <v>20</v>
      </c>
      <c r="D742" s="80" t="s">
        <v>21</v>
      </c>
      <c r="E742" s="53">
        <f>SUM(F742:N742)</f>
        <v>5</v>
      </c>
      <c r="F742" s="81"/>
      <c r="G742" s="81"/>
      <c r="H742" s="81">
        <v>1</v>
      </c>
      <c r="I742" s="81">
        <v>2</v>
      </c>
      <c r="J742" s="81">
        <v>2</v>
      </c>
      <c r="K742" s="81"/>
      <c r="L742" s="81"/>
      <c r="M742" s="81"/>
      <c r="N742" s="81"/>
      <c r="O742" s="64" t="s">
        <v>453</v>
      </c>
      <c r="P742" s="56"/>
      <c r="Q742" s="57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 spans="1:28" ht="14.4" x14ac:dyDescent="0.3">
      <c r="A743" s="79"/>
      <c r="B743" s="51">
        <v>43758</v>
      </c>
      <c r="C743" s="80" t="s">
        <v>14</v>
      </c>
      <c r="D743" s="80" t="s">
        <v>15</v>
      </c>
      <c r="E743" s="53">
        <f>SUM(F743:N743)</f>
        <v>11</v>
      </c>
      <c r="F743" s="81"/>
      <c r="G743" s="81"/>
      <c r="H743" s="81">
        <v>2</v>
      </c>
      <c r="I743" s="81"/>
      <c r="J743" s="81">
        <v>6</v>
      </c>
      <c r="K743" s="81"/>
      <c r="L743" s="81">
        <v>3</v>
      </c>
      <c r="M743" s="81"/>
      <c r="N743" s="81"/>
      <c r="O743" s="64" t="s">
        <v>851</v>
      </c>
      <c r="P743" s="56"/>
      <c r="Q743" s="57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 spans="1:28" ht="14.4" x14ac:dyDescent="0.3">
      <c r="A744" s="79"/>
      <c r="B744" s="51">
        <v>43758</v>
      </c>
      <c r="C744" s="80" t="s">
        <v>23</v>
      </c>
      <c r="D744" s="80" t="s">
        <v>24</v>
      </c>
      <c r="E744" s="53">
        <f>SUM(F744:N744)</f>
        <v>5</v>
      </c>
      <c r="F744" s="81"/>
      <c r="G744" s="81">
        <v>1</v>
      </c>
      <c r="H744" s="81">
        <v>1</v>
      </c>
      <c r="I744" s="81"/>
      <c r="J744" s="81">
        <v>2</v>
      </c>
      <c r="K744" s="81">
        <v>1</v>
      </c>
      <c r="L744" s="81"/>
      <c r="M744" s="81"/>
      <c r="N744" s="81"/>
      <c r="O744" s="64" t="s">
        <v>893</v>
      </c>
      <c r="P744" s="56"/>
      <c r="Q744" s="57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 spans="1:28" ht="14.4" x14ac:dyDescent="0.3">
      <c r="A745" s="79"/>
      <c r="B745" s="51">
        <v>43761</v>
      </c>
      <c r="C745" s="80" t="s">
        <v>20</v>
      </c>
      <c r="D745" s="80" t="s">
        <v>21</v>
      </c>
      <c r="E745" s="53">
        <f>SUM(F745:N745)</f>
        <v>1</v>
      </c>
      <c r="F745" s="81"/>
      <c r="G745" s="81">
        <v>1</v>
      </c>
      <c r="H745" s="81"/>
      <c r="I745" s="81"/>
      <c r="J745" s="81"/>
      <c r="K745" s="81"/>
      <c r="L745" s="81"/>
      <c r="M745" s="81"/>
      <c r="N745" s="81"/>
      <c r="O745" s="64" t="s">
        <v>454</v>
      </c>
      <c r="P745" s="56"/>
      <c r="Q745" s="57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 spans="1:28" ht="14.4" x14ac:dyDescent="0.3">
      <c r="A746" s="79"/>
      <c r="B746" s="51">
        <v>43762</v>
      </c>
      <c r="C746" s="80" t="s">
        <v>20</v>
      </c>
      <c r="D746" s="80" t="s">
        <v>21</v>
      </c>
      <c r="E746" s="53">
        <f>SUM(F746:N746)</f>
        <v>6</v>
      </c>
      <c r="F746" s="81"/>
      <c r="G746" s="81"/>
      <c r="H746" s="81"/>
      <c r="I746" s="81"/>
      <c r="J746" s="81">
        <v>5</v>
      </c>
      <c r="K746" s="81"/>
      <c r="L746" s="81">
        <v>1</v>
      </c>
      <c r="M746" s="81"/>
      <c r="N746" s="81"/>
      <c r="O746" s="64" t="s">
        <v>455</v>
      </c>
      <c r="P746" s="56"/>
      <c r="Q746" s="57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 spans="1:28" ht="14.4" x14ac:dyDescent="0.3">
      <c r="A747" s="79"/>
      <c r="B747" s="51">
        <v>43762</v>
      </c>
      <c r="C747" s="80" t="s">
        <v>32</v>
      </c>
      <c r="D747" s="80" t="s">
        <v>33</v>
      </c>
      <c r="E747" s="53">
        <f>SUM(F747:N747)</f>
        <v>6</v>
      </c>
      <c r="F747" s="81"/>
      <c r="G747" s="81">
        <v>1</v>
      </c>
      <c r="H747" s="81"/>
      <c r="I747" s="81"/>
      <c r="J747" s="81">
        <v>4</v>
      </c>
      <c r="K747" s="81">
        <v>1</v>
      </c>
      <c r="L747" s="81"/>
      <c r="M747" s="81"/>
      <c r="N747" s="81"/>
      <c r="O747" s="64" t="s">
        <v>669</v>
      </c>
      <c r="P747" s="56"/>
      <c r="Q747" s="57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 spans="1:28" ht="14.4" x14ac:dyDescent="0.3">
      <c r="A748" s="79"/>
      <c r="B748" s="51">
        <v>43762</v>
      </c>
      <c r="C748" s="80" t="s">
        <v>71</v>
      </c>
      <c r="D748" s="80" t="s">
        <v>72</v>
      </c>
      <c r="E748" s="53">
        <f>SUM(F748:N748)</f>
        <v>1</v>
      </c>
      <c r="F748" s="81"/>
      <c r="G748" s="81"/>
      <c r="H748" s="81"/>
      <c r="I748" s="81"/>
      <c r="J748" s="81">
        <v>1</v>
      </c>
      <c r="K748" s="81"/>
      <c r="L748" s="81"/>
      <c r="M748" s="81"/>
      <c r="N748" s="81"/>
      <c r="O748" s="64" t="s">
        <v>630</v>
      </c>
      <c r="P748" s="56"/>
      <c r="Q748" s="57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 spans="1:28" ht="14.4" x14ac:dyDescent="0.3">
      <c r="A749" s="79"/>
      <c r="B749" s="51">
        <v>43762</v>
      </c>
      <c r="C749" s="80" t="s">
        <v>17</v>
      </c>
      <c r="D749" s="80" t="s">
        <v>18</v>
      </c>
      <c r="E749" s="53">
        <f>SUM(F749:N749)</f>
        <v>3</v>
      </c>
      <c r="F749" s="81"/>
      <c r="G749" s="81"/>
      <c r="H749" s="81">
        <v>1</v>
      </c>
      <c r="I749" s="81"/>
      <c r="J749" s="81">
        <v>2</v>
      </c>
      <c r="K749" s="81"/>
      <c r="L749" s="81"/>
      <c r="M749" s="81"/>
      <c r="N749" s="81"/>
      <c r="O749" s="64" t="s">
        <v>316</v>
      </c>
      <c r="P749" s="56"/>
      <c r="Q749" s="82" t="s">
        <v>964</v>
      </c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 spans="1:28" ht="14.4" x14ac:dyDescent="0.3">
      <c r="A750" s="79"/>
      <c r="B750" s="51">
        <v>43764</v>
      </c>
      <c r="C750" s="80" t="s">
        <v>53</v>
      </c>
      <c r="D750" s="80" t="s">
        <v>54</v>
      </c>
      <c r="E750" s="53">
        <f>SUM(F750:N750)</f>
        <v>2</v>
      </c>
      <c r="F750" s="81"/>
      <c r="G750" s="81">
        <v>1</v>
      </c>
      <c r="H750" s="81"/>
      <c r="I750" s="81"/>
      <c r="J750" s="81"/>
      <c r="K750" s="81">
        <v>1</v>
      </c>
      <c r="L750" s="81"/>
      <c r="M750" s="81"/>
      <c r="N750" s="81"/>
      <c r="O750" s="64" t="s">
        <v>369</v>
      </c>
      <c r="P750" s="56"/>
      <c r="Q750" s="74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 spans="1:28" ht="14.4" x14ac:dyDescent="0.3">
      <c r="A751" s="79"/>
      <c r="B751" s="51">
        <v>43764</v>
      </c>
      <c r="C751" s="80" t="s">
        <v>32</v>
      </c>
      <c r="D751" s="80" t="s">
        <v>33</v>
      </c>
      <c r="E751" s="53">
        <f>SUM(F751:N751)</f>
        <v>4</v>
      </c>
      <c r="F751" s="81"/>
      <c r="G751" s="81">
        <v>1</v>
      </c>
      <c r="H751" s="81"/>
      <c r="I751" s="81"/>
      <c r="J751" s="81">
        <v>1</v>
      </c>
      <c r="K751" s="81">
        <v>2</v>
      </c>
      <c r="L751" s="81"/>
      <c r="M751" s="81"/>
      <c r="N751" s="81"/>
      <c r="O751" s="64" t="s">
        <v>670</v>
      </c>
      <c r="P751" s="56"/>
      <c r="Q751" s="57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 spans="1:28" ht="14.4" x14ac:dyDescent="0.3">
      <c r="A752" s="79"/>
      <c r="B752" s="51">
        <v>43764</v>
      </c>
      <c r="C752" s="80" t="s">
        <v>17</v>
      </c>
      <c r="D752" s="80" t="s">
        <v>18</v>
      </c>
      <c r="E752" s="53">
        <f>SUM(F752:N752)</f>
        <v>7</v>
      </c>
      <c r="F752" s="81"/>
      <c r="G752" s="81"/>
      <c r="H752" s="81">
        <v>1</v>
      </c>
      <c r="I752" s="81">
        <v>1</v>
      </c>
      <c r="J752" s="81">
        <v>3</v>
      </c>
      <c r="K752" s="81">
        <v>2</v>
      </c>
      <c r="L752" s="81"/>
      <c r="M752" s="81"/>
      <c r="N752" s="81"/>
      <c r="O752" s="64" t="s">
        <v>317</v>
      </c>
      <c r="P752" s="56"/>
      <c r="Q752" s="68" t="s">
        <v>965</v>
      </c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 spans="1:28" ht="14.4" x14ac:dyDescent="0.3">
      <c r="A753" s="79"/>
      <c r="B753" s="51">
        <v>43764</v>
      </c>
      <c r="C753" s="80" t="s">
        <v>29</v>
      </c>
      <c r="D753" s="80" t="s">
        <v>30</v>
      </c>
      <c r="E753" s="53">
        <f>SUM(F753:N753)</f>
        <v>11</v>
      </c>
      <c r="F753" s="81"/>
      <c r="G753" s="81"/>
      <c r="H753" s="81">
        <v>1</v>
      </c>
      <c r="I753" s="81">
        <v>9</v>
      </c>
      <c r="J753" s="81">
        <v>1</v>
      </c>
      <c r="K753" s="81"/>
      <c r="L753" s="81"/>
      <c r="M753" s="81"/>
      <c r="N753" s="81"/>
      <c r="O753" s="64" t="s">
        <v>746</v>
      </c>
      <c r="P753" s="56"/>
      <c r="Q753" s="57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 spans="1:28" ht="14.4" x14ac:dyDescent="0.3">
      <c r="A754" s="79"/>
      <c r="B754" s="51">
        <v>43764</v>
      </c>
      <c r="C754" s="80" t="s">
        <v>14</v>
      </c>
      <c r="D754" s="80" t="s">
        <v>15</v>
      </c>
      <c r="E754" s="53">
        <f>SUM(F754:N754)</f>
        <v>10</v>
      </c>
      <c r="F754" s="81"/>
      <c r="G754" s="81"/>
      <c r="H754" s="81">
        <v>1</v>
      </c>
      <c r="I754" s="81"/>
      <c r="J754" s="81">
        <v>5</v>
      </c>
      <c r="K754" s="81">
        <v>3</v>
      </c>
      <c r="L754" s="81">
        <v>1</v>
      </c>
      <c r="M754" s="81"/>
      <c r="N754" s="81"/>
      <c r="O754" s="64" t="s">
        <v>852</v>
      </c>
      <c r="P754" s="56"/>
      <c r="Q754" s="57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 spans="1:28" ht="14.4" x14ac:dyDescent="0.3">
      <c r="A755" s="79"/>
      <c r="B755" s="51">
        <v>43764</v>
      </c>
      <c r="C755" s="80" t="s">
        <v>20</v>
      </c>
      <c r="D755" s="80" t="s">
        <v>21</v>
      </c>
      <c r="E755" s="53">
        <f>SUM(F755:N755)</f>
        <v>7</v>
      </c>
      <c r="F755" s="81"/>
      <c r="G755" s="81"/>
      <c r="H755" s="81"/>
      <c r="I755" s="81">
        <v>6</v>
      </c>
      <c r="J755" s="81"/>
      <c r="K755" s="81"/>
      <c r="L755" s="81">
        <v>1</v>
      </c>
      <c r="M755" s="81"/>
      <c r="N755" s="81"/>
      <c r="O755" s="64" t="s">
        <v>456</v>
      </c>
      <c r="P755" s="56"/>
      <c r="Q755" s="57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 spans="1:28" ht="14.4" x14ac:dyDescent="0.3">
      <c r="A756" s="79"/>
      <c r="B756" s="51">
        <v>43765</v>
      </c>
      <c r="C756" s="80" t="s">
        <v>35</v>
      </c>
      <c r="D756" s="80" t="s">
        <v>36</v>
      </c>
      <c r="E756" s="53">
        <f>SUM(F756:N756)</f>
        <v>7</v>
      </c>
      <c r="F756" s="81"/>
      <c r="G756" s="81">
        <v>2</v>
      </c>
      <c r="H756" s="81"/>
      <c r="I756" s="81"/>
      <c r="J756" s="81">
        <v>5</v>
      </c>
      <c r="K756" s="81"/>
      <c r="L756" s="81"/>
      <c r="M756" s="81"/>
      <c r="N756" s="81"/>
      <c r="O756" s="64" t="s">
        <v>486</v>
      </c>
      <c r="P756" s="56"/>
      <c r="Q756" s="57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 spans="1:28" ht="14.4" x14ac:dyDescent="0.3">
      <c r="A757" s="79"/>
      <c r="B757" s="51">
        <v>43765</v>
      </c>
      <c r="C757" s="80" t="s">
        <v>17</v>
      </c>
      <c r="D757" s="80" t="s">
        <v>18</v>
      </c>
      <c r="E757" s="53">
        <f>SUM(F757:N757)</f>
        <v>11</v>
      </c>
      <c r="F757" s="81"/>
      <c r="G757" s="81">
        <v>1</v>
      </c>
      <c r="H757" s="81"/>
      <c r="I757" s="81"/>
      <c r="J757" s="81">
        <v>6</v>
      </c>
      <c r="K757" s="81">
        <v>4</v>
      </c>
      <c r="L757" s="81"/>
      <c r="M757" s="81"/>
      <c r="N757" s="81"/>
      <c r="O757" s="64" t="s">
        <v>318</v>
      </c>
      <c r="P757" s="56"/>
      <c r="Q757" s="68" t="s">
        <v>966</v>
      </c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 spans="1:28" ht="14.4" x14ac:dyDescent="0.3">
      <c r="A758" s="79"/>
      <c r="B758" s="51">
        <v>43765</v>
      </c>
      <c r="C758" s="80" t="s">
        <v>14</v>
      </c>
      <c r="D758" s="80" t="s">
        <v>15</v>
      </c>
      <c r="E758" s="53">
        <f>SUM(F758:N758)</f>
        <v>16</v>
      </c>
      <c r="F758" s="81">
        <v>1</v>
      </c>
      <c r="G758" s="81"/>
      <c r="H758" s="81"/>
      <c r="I758" s="81">
        <v>2</v>
      </c>
      <c r="J758" s="81">
        <v>10</v>
      </c>
      <c r="K758" s="81">
        <v>3</v>
      </c>
      <c r="L758" s="81"/>
      <c r="M758" s="81"/>
      <c r="N758" s="81"/>
      <c r="O758" s="64" t="s">
        <v>853</v>
      </c>
      <c r="P758" s="56"/>
      <c r="Q758" s="57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 spans="1:28" ht="14.4" x14ac:dyDescent="0.3">
      <c r="A759" s="79"/>
      <c r="B759" s="51">
        <v>43765</v>
      </c>
      <c r="C759" s="80" t="s">
        <v>20</v>
      </c>
      <c r="D759" s="80" t="s">
        <v>21</v>
      </c>
      <c r="E759" s="53">
        <f>SUM(F759:N759)</f>
        <v>4</v>
      </c>
      <c r="F759" s="81"/>
      <c r="G759" s="81"/>
      <c r="H759" s="81"/>
      <c r="I759" s="81">
        <v>3</v>
      </c>
      <c r="J759" s="81">
        <v>1</v>
      </c>
      <c r="K759" s="81"/>
      <c r="L759" s="81"/>
      <c r="M759" s="81"/>
      <c r="N759" s="81"/>
      <c r="O759" s="64" t="s">
        <v>457</v>
      </c>
      <c r="P759" s="56"/>
      <c r="Q759" s="57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 spans="1:28" ht="14.4" x14ac:dyDescent="0.3">
      <c r="A760" s="79"/>
      <c r="B760" s="51">
        <v>43766</v>
      </c>
      <c r="C760" s="80" t="s">
        <v>44</v>
      </c>
      <c r="D760" s="80" t="s">
        <v>45</v>
      </c>
      <c r="E760" s="53">
        <f>SUM(F760:N760)</f>
        <v>2</v>
      </c>
      <c r="F760" s="81"/>
      <c r="G760" s="81"/>
      <c r="H760" s="81"/>
      <c r="I760" s="81"/>
      <c r="J760" s="81">
        <v>2</v>
      </c>
      <c r="K760" s="81"/>
      <c r="L760" s="81"/>
      <c r="M760" s="81"/>
      <c r="N760" s="81"/>
      <c r="O760" s="64" t="s">
        <v>393</v>
      </c>
      <c r="P760" s="56"/>
      <c r="Q760" s="57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 spans="1:28" ht="14.4" x14ac:dyDescent="0.3">
      <c r="A761" s="79"/>
      <c r="B761" s="51">
        <v>43766</v>
      </c>
      <c r="C761" s="80" t="s">
        <v>83</v>
      </c>
      <c r="D761" s="80" t="s">
        <v>84</v>
      </c>
      <c r="E761" s="53">
        <f>SUM(F761:N761)</f>
        <v>8</v>
      </c>
      <c r="F761" s="81"/>
      <c r="G761" s="81"/>
      <c r="H761" s="81">
        <v>2</v>
      </c>
      <c r="I761" s="81"/>
      <c r="J761" s="81">
        <v>5</v>
      </c>
      <c r="K761" s="81">
        <v>1</v>
      </c>
      <c r="L761" s="81"/>
      <c r="M761" s="81"/>
      <c r="N761" s="81"/>
      <c r="O761" s="64" t="s">
        <v>752</v>
      </c>
      <c r="P761" s="56"/>
      <c r="Q761" s="57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 spans="1:28" ht="14.4" x14ac:dyDescent="0.3">
      <c r="A762" s="79"/>
      <c r="B762" s="51">
        <v>43766</v>
      </c>
      <c r="C762" s="80" t="s">
        <v>26</v>
      </c>
      <c r="D762" s="80" t="s">
        <v>27</v>
      </c>
      <c r="E762" s="53">
        <f>SUM(F762:N762)</f>
        <v>16</v>
      </c>
      <c r="F762" s="81"/>
      <c r="G762" s="81">
        <v>3</v>
      </c>
      <c r="H762" s="81">
        <v>3</v>
      </c>
      <c r="I762" s="81"/>
      <c r="J762" s="81">
        <v>7</v>
      </c>
      <c r="K762" s="81">
        <v>3</v>
      </c>
      <c r="L762" s="81"/>
      <c r="M762" s="81"/>
      <c r="N762" s="81"/>
      <c r="O762" s="64" t="s">
        <v>563</v>
      </c>
      <c r="P762" s="56"/>
      <c r="Q762" s="57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 spans="1:28" ht="14.4" x14ac:dyDescent="0.3">
      <c r="A763" s="79"/>
      <c r="B763" s="51">
        <v>43766</v>
      </c>
      <c r="C763" s="80" t="s">
        <v>23</v>
      </c>
      <c r="D763" s="80" t="s">
        <v>24</v>
      </c>
      <c r="E763" s="53">
        <f>SUM(F763:N763)</f>
        <v>22</v>
      </c>
      <c r="F763" s="81"/>
      <c r="G763" s="81">
        <v>2</v>
      </c>
      <c r="H763" s="81">
        <v>4</v>
      </c>
      <c r="I763" s="81">
        <v>10</v>
      </c>
      <c r="J763" s="81">
        <v>4</v>
      </c>
      <c r="K763" s="81"/>
      <c r="L763" s="81">
        <v>2</v>
      </c>
      <c r="M763" s="81"/>
      <c r="N763" s="81"/>
      <c r="O763" s="64" t="s">
        <v>894</v>
      </c>
      <c r="P763" s="56"/>
      <c r="Q763" s="57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 spans="1:28" ht="14.4" x14ac:dyDescent="0.3">
      <c r="A764" s="79"/>
      <c r="B764" s="51">
        <v>43766</v>
      </c>
      <c r="C764" s="80" t="s">
        <v>20</v>
      </c>
      <c r="D764" s="80" t="s">
        <v>21</v>
      </c>
      <c r="E764" s="53">
        <f>SUM(F764:N764)</f>
        <v>9</v>
      </c>
      <c r="F764" s="81"/>
      <c r="G764" s="81"/>
      <c r="H764" s="81"/>
      <c r="I764" s="81">
        <v>4</v>
      </c>
      <c r="J764" s="81">
        <v>1</v>
      </c>
      <c r="K764" s="81">
        <v>1</v>
      </c>
      <c r="L764" s="81">
        <v>3</v>
      </c>
      <c r="M764" s="81"/>
      <c r="N764" s="81"/>
      <c r="O764" s="64" t="s">
        <v>458</v>
      </c>
      <c r="P764" s="56"/>
      <c r="Q764" s="57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 spans="1:28" ht="14.4" x14ac:dyDescent="0.3">
      <c r="A765" s="79"/>
      <c r="B765" s="51">
        <v>43767</v>
      </c>
      <c r="C765" s="80" t="s">
        <v>62</v>
      </c>
      <c r="D765" s="80" t="s">
        <v>63</v>
      </c>
      <c r="E765" s="53">
        <f>SUM(F765:N765)</f>
        <v>21</v>
      </c>
      <c r="F765" s="81"/>
      <c r="G765" s="81">
        <v>2</v>
      </c>
      <c r="H765" s="81">
        <v>2</v>
      </c>
      <c r="I765" s="81">
        <v>4</v>
      </c>
      <c r="J765" s="81">
        <v>12</v>
      </c>
      <c r="K765" s="81"/>
      <c r="L765" s="81">
        <v>1</v>
      </c>
      <c r="M765" s="81"/>
      <c r="N765" s="81"/>
      <c r="O765" s="64" t="s">
        <v>330</v>
      </c>
      <c r="P765" s="56"/>
      <c r="Q765" s="57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 spans="1:28" ht="14.4" x14ac:dyDescent="0.3">
      <c r="A766" s="79"/>
      <c r="B766" s="51">
        <v>43767</v>
      </c>
      <c r="C766" s="80" t="s">
        <v>53</v>
      </c>
      <c r="D766" s="80" t="s">
        <v>54</v>
      </c>
      <c r="E766" s="53">
        <f>SUM(F766:N766)</f>
        <v>3</v>
      </c>
      <c r="F766" s="81"/>
      <c r="G766" s="81"/>
      <c r="H766" s="81"/>
      <c r="I766" s="81"/>
      <c r="J766" s="81">
        <v>1</v>
      </c>
      <c r="K766" s="81">
        <v>2</v>
      </c>
      <c r="L766" s="81"/>
      <c r="M766" s="81"/>
      <c r="N766" s="81"/>
      <c r="O766" s="64" t="s">
        <v>370</v>
      </c>
      <c r="P766" s="56"/>
      <c r="Q766" s="57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 spans="1:28" ht="14.4" x14ac:dyDescent="0.3">
      <c r="A767" s="79"/>
      <c r="B767" s="51">
        <v>43769</v>
      </c>
      <c r="C767" s="80" t="s">
        <v>41</v>
      </c>
      <c r="D767" s="80" t="s">
        <v>42</v>
      </c>
      <c r="E767" s="53">
        <f>SUM(F767:N767)</f>
        <v>2</v>
      </c>
      <c r="F767" s="81"/>
      <c r="G767" s="81">
        <v>1</v>
      </c>
      <c r="H767" s="81"/>
      <c r="I767" s="81"/>
      <c r="J767" s="81"/>
      <c r="K767" s="81"/>
      <c r="L767" s="81"/>
      <c r="M767" s="81">
        <v>1</v>
      </c>
      <c r="N767" s="81"/>
      <c r="O767" s="64" t="s">
        <v>586</v>
      </c>
      <c r="P767" s="56"/>
      <c r="Q767" s="57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 spans="1:28" ht="14.4" x14ac:dyDescent="0.3">
      <c r="A768" s="79"/>
      <c r="B768" s="51">
        <v>43769</v>
      </c>
      <c r="C768" s="80" t="s">
        <v>20</v>
      </c>
      <c r="D768" s="80" t="s">
        <v>21</v>
      </c>
      <c r="E768" s="53">
        <f>SUM(F768:N768)</f>
        <v>5</v>
      </c>
      <c r="F768" s="81"/>
      <c r="G768" s="81"/>
      <c r="H768" s="81">
        <v>1</v>
      </c>
      <c r="I768" s="81"/>
      <c r="J768" s="81">
        <v>1</v>
      </c>
      <c r="K768" s="81">
        <v>3</v>
      </c>
      <c r="L768" s="81"/>
      <c r="M768" s="81"/>
      <c r="N768" s="81"/>
      <c r="O768" s="64" t="s">
        <v>459</v>
      </c>
      <c r="P768" s="56"/>
      <c r="Q768" s="57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 spans="1:28" ht="14.4" x14ac:dyDescent="0.3">
      <c r="A769" s="79"/>
      <c r="B769" s="51">
        <v>43770</v>
      </c>
      <c r="C769" s="80" t="s">
        <v>17</v>
      </c>
      <c r="D769" s="80" t="s">
        <v>18</v>
      </c>
      <c r="E769" s="53">
        <f>SUM(F769:N769)</f>
        <v>12</v>
      </c>
      <c r="F769" s="81"/>
      <c r="G769" s="81">
        <v>1</v>
      </c>
      <c r="H769" s="81"/>
      <c r="I769" s="81"/>
      <c r="J769" s="81">
        <v>8</v>
      </c>
      <c r="K769" s="81">
        <v>3</v>
      </c>
      <c r="L769" s="81"/>
      <c r="M769" s="81"/>
      <c r="N769" s="81"/>
      <c r="O769" s="64" t="s">
        <v>319</v>
      </c>
      <c r="P769" s="56"/>
      <c r="Q769" s="57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 spans="1:28" ht="14.4" x14ac:dyDescent="0.3">
      <c r="A770" s="79"/>
      <c r="B770" s="51">
        <v>43770</v>
      </c>
      <c r="C770" s="80" t="s">
        <v>32</v>
      </c>
      <c r="D770" s="80" t="s">
        <v>33</v>
      </c>
      <c r="E770" s="53">
        <f>SUM(F770:N770)</f>
        <v>4</v>
      </c>
      <c r="F770" s="81"/>
      <c r="G770" s="81">
        <v>1</v>
      </c>
      <c r="H770" s="81"/>
      <c r="I770" s="81"/>
      <c r="J770" s="81">
        <v>1</v>
      </c>
      <c r="K770" s="81">
        <v>2</v>
      </c>
      <c r="L770" s="81"/>
      <c r="M770" s="81"/>
      <c r="N770" s="81"/>
      <c r="O770" s="64" t="s">
        <v>671</v>
      </c>
      <c r="P770" s="56"/>
      <c r="Q770" s="57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 spans="1:28" ht="14.4" x14ac:dyDescent="0.3">
      <c r="A771" s="79"/>
      <c r="B771" s="51">
        <v>43771</v>
      </c>
      <c r="C771" s="80" t="s">
        <v>53</v>
      </c>
      <c r="D771" s="80" t="s">
        <v>54</v>
      </c>
      <c r="E771" s="53">
        <f>SUM(F771:N771)</f>
        <v>2</v>
      </c>
      <c r="F771" s="81"/>
      <c r="G771" s="81"/>
      <c r="H771" s="81"/>
      <c r="I771" s="81"/>
      <c r="J771" s="81">
        <v>1</v>
      </c>
      <c r="K771" s="81">
        <v>1</v>
      </c>
      <c r="L771" s="81"/>
      <c r="M771" s="81"/>
      <c r="N771" s="81"/>
      <c r="O771" s="64" t="s">
        <v>371</v>
      </c>
      <c r="P771" s="56"/>
      <c r="Q771" s="57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 spans="1:28" ht="14.4" x14ac:dyDescent="0.3">
      <c r="A772" s="79"/>
      <c r="B772" s="51">
        <v>43771</v>
      </c>
      <c r="C772" s="80" t="s">
        <v>17</v>
      </c>
      <c r="D772" s="80" t="s">
        <v>18</v>
      </c>
      <c r="E772" s="53">
        <f>SUM(F772:N772)</f>
        <v>9</v>
      </c>
      <c r="F772" s="81"/>
      <c r="G772" s="81"/>
      <c r="H772" s="81">
        <v>1</v>
      </c>
      <c r="I772" s="81">
        <v>3</v>
      </c>
      <c r="J772" s="81">
        <v>5</v>
      </c>
      <c r="K772" s="81"/>
      <c r="L772" s="81"/>
      <c r="M772" s="81"/>
      <c r="N772" s="81"/>
      <c r="O772" s="64" t="s">
        <v>320</v>
      </c>
      <c r="P772" s="56"/>
      <c r="Q772" s="57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 spans="1:28" ht="14.4" x14ac:dyDescent="0.3">
      <c r="A773" s="79"/>
      <c r="B773" s="51">
        <v>43771</v>
      </c>
      <c r="C773" s="80" t="s">
        <v>14</v>
      </c>
      <c r="D773" s="80" t="s">
        <v>15</v>
      </c>
      <c r="E773" s="53">
        <f>SUM(F773:N773)</f>
        <v>9</v>
      </c>
      <c r="F773" s="81"/>
      <c r="G773" s="81"/>
      <c r="H773" s="81">
        <v>2</v>
      </c>
      <c r="I773" s="81"/>
      <c r="J773" s="81">
        <v>5</v>
      </c>
      <c r="K773" s="81">
        <v>2</v>
      </c>
      <c r="L773" s="81"/>
      <c r="M773" s="81"/>
      <c r="N773" s="81"/>
      <c r="O773" s="64" t="s">
        <v>854</v>
      </c>
      <c r="P773" s="56"/>
      <c r="Q773" s="57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 spans="1:28" ht="14.4" x14ac:dyDescent="0.3">
      <c r="A774" s="79"/>
      <c r="B774" s="51">
        <v>43771</v>
      </c>
      <c r="C774" s="80" t="s">
        <v>38</v>
      </c>
      <c r="D774" s="80" t="s">
        <v>39</v>
      </c>
      <c r="E774" s="53">
        <f>SUM(F774:N774)</f>
        <v>11</v>
      </c>
      <c r="F774" s="81"/>
      <c r="G774" s="81">
        <v>2</v>
      </c>
      <c r="H774" s="81">
        <v>3</v>
      </c>
      <c r="I774" s="81"/>
      <c r="J774" s="81">
        <v>4</v>
      </c>
      <c r="K774" s="81">
        <v>2</v>
      </c>
      <c r="L774" s="81"/>
      <c r="M774" s="81"/>
      <c r="N774" s="81"/>
      <c r="O774" s="64" t="s">
        <v>513</v>
      </c>
      <c r="P774" s="56"/>
      <c r="Q774" s="57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 spans="1:28" ht="14.4" x14ac:dyDescent="0.3">
      <c r="A775" s="79"/>
      <c r="B775" s="51">
        <v>43772</v>
      </c>
      <c r="C775" s="80" t="s">
        <v>35</v>
      </c>
      <c r="D775" s="80" t="s">
        <v>36</v>
      </c>
      <c r="E775" s="53">
        <f>SUM(F775:N775)</f>
        <v>13</v>
      </c>
      <c r="F775" s="81"/>
      <c r="G775" s="81">
        <v>1</v>
      </c>
      <c r="H775" s="81">
        <v>3</v>
      </c>
      <c r="I775" s="81">
        <v>7</v>
      </c>
      <c r="J775" s="81">
        <v>1</v>
      </c>
      <c r="K775" s="81">
        <v>1</v>
      </c>
      <c r="L775" s="81"/>
      <c r="M775" s="81"/>
      <c r="N775" s="81"/>
      <c r="O775" s="64" t="s">
        <v>487</v>
      </c>
      <c r="P775" s="56"/>
      <c r="Q775" s="57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 spans="1:28" ht="14.4" x14ac:dyDescent="0.3">
      <c r="A776" s="79"/>
      <c r="B776" s="51">
        <v>43772</v>
      </c>
      <c r="C776" s="80" t="s">
        <v>26</v>
      </c>
      <c r="D776" s="80" t="s">
        <v>27</v>
      </c>
      <c r="E776" s="53">
        <f>SUM(F776:N776)</f>
        <v>7</v>
      </c>
      <c r="F776" s="81"/>
      <c r="G776" s="81">
        <v>1</v>
      </c>
      <c r="H776" s="81">
        <v>1</v>
      </c>
      <c r="I776" s="81"/>
      <c r="J776" s="81">
        <v>4</v>
      </c>
      <c r="K776" s="81">
        <v>1</v>
      </c>
      <c r="L776" s="81"/>
      <c r="M776" s="81"/>
      <c r="N776" s="81"/>
      <c r="O776" s="64" t="s">
        <v>564</v>
      </c>
      <c r="P776" s="56"/>
      <c r="Q776" s="57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 spans="1:28" ht="14.4" x14ac:dyDescent="0.3">
      <c r="A777" s="79"/>
      <c r="B777" s="51">
        <v>43772</v>
      </c>
      <c r="C777" s="80" t="s">
        <v>83</v>
      </c>
      <c r="D777" s="80" t="s">
        <v>84</v>
      </c>
      <c r="E777" s="53">
        <f>SUM(F777:N777)</f>
        <v>2</v>
      </c>
      <c r="F777" s="81"/>
      <c r="G777" s="81">
        <v>1</v>
      </c>
      <c r="H777" s="81"/>
      <c r="I777" s="81"/>
      <c r="J777" s="81">
        <v>1</v>
      </c>
      <c r="K777" s="81"/>
      <c r="L777" s="81"/>
      <c r="M777" s="81"/>
      <c r="N777" s="81"/>
      <c r="O777" s="64" t="s">
        <v>753</v>
      </c>
      <c r="P777" s="56"/>
      <c r="Q777" s="57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 spans="1:28" ht="14.4" x14ac:dyDescent="0.3">
      <c r="A778" s="79"/>
      <c r="B778" s="51">
        <v>43772</v>
      </c>
      <c r="C778" s="80" t="s">
        <v>14</v>
      </c>
      <c r="D778" s="80" t="s">
        <v>15</v>
      </c>
      <c r="E778" s="53">
        <f>SUM(F778:N778)</f>
        <v>16</v>
      </c>
      <c r="F778" s="81"/>
      <c r="G778" s="81">
        <v>3</v>
      </c>
      <c r="H778" s="81">
        <v>1</v>
      </c>
      <c r="I778" s="81">
        <v>1</v>
      </c>
      <c r="J778" s="81">
        <v>9</v>
      </c>
      <c r="K778" s="81">
        <v>1</v>
      </c>
      <c r="L778" s="81">
        <v>1</v>
      </c>
      <c r="M778" s="81"/>
      <c r="N778" s="81"/>
      <c r="O778" s="64" t="s">
        <v>855</v>
      </c>
      <c r="P778" s="56"/>
      <c r="Q778" s="57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 spans="1:28" ht="14.4" x14ac:dyDescent="0.3">
      <c r="A779" s="79"/>
      <c r="B779" s="51">
        <v>43772</v>
      </c>
      <c r="C779" s="80" t="s">
        <v>17</v>
      </c>
      <c r="D779" s="80" t="s">
        <v>18</v>
      </c>
      <c r="E779" s="53">
        <f>SUM(F779:N779)</f>
        <v>5</v>
      </c>
      <c r="F779" s="81"/>
      <c r="G779" s="81"/>
      <c r="H779" s="81">
        <v>2</v>
      </c>
      <c r="I779" s="81"/>
      <c r="J779" s="81">
        <v>3</v>
      </c>
      <c r="K779" s="81"/>
      <c r="L779" s="81"/>
      <c r="M779" s="81"/>
      <c r="N779" s="81"/>
      <c r="O779" s="64" t="s">
        <v>321</v>
      </c>
      <c r="P779" s="56"/>
      <c r="Q779" s="57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 spans="1:28" ht="14.4" x14ac:dyDescent="0.3">
      <c r="A780" s="79"/>
      <c r="B780" s="51">
        <v>43772</v>
      </c>
      <c r="C780" s="80" t="s">
        <v>20</v>
      </c>
      <c r="D780" s="80" t="s">
        <v>21</v>
      </c>
      <c r="E780" s="53">
        <f>SUM(F780:N780)</f>
        <v>6</v>
      </c>
      <c r="F780" s="81"/>
      <c r="G780" s="81"/>
      <c r="H780" s="81"/>
      <c r="I780" s="81">
        <v>5</v>
      </c>
      <c r="J780" s="81">
        <v>1</v>
      </c>
      <c r="K780" s="81"/>
      <c r="L780" s="81"/>
      <c r="M780" s="81"/>
      <c r="N780" s="81"/>
      <c r="O780" s="64" t="s">
        <v>460</v>
      </c>
      <c r="P780" s="56"/>
      <c r="Q780" s="57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 spans="1:28" ht="14.4" x14ac:dyDescent="0.3">
      <c r="A781" s="79"/>
      <c r="B781" s="51">
        <v>43774</v>
      </c>
      <c r="C781" s="80" t="s">
        <v>100</v>
      </c>
      <c r="D781" s="80" t="s">
        <v>101</v>
      </c>
      <c r="E781" s="53">
        <f>SUM(F781:N781)</f>
        <v>9</v>
      </c>
      <c r="F781" s="81"/>
      <c r="G781" s="81"/>
      <c r="H781" s="81">
        <v>2</v>
      </c>
      <c r="I781" s="81">
        <v>3</v>
      </c>
      <c r="J781" s="81">
        <v>4</v>
      </c>
      <c r="K781" s="81"/>
      <c r="L781" s="81"/>
      <c r="M781" s="81"/>
      <c r="N781" s="81"/>
      <c r="O781" s="64" t="s">
        <v>466</v>
      </c>
      <c r="P781" s="56"/>
      <c r="Q781" s="57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 spans="1:28" ht="14.4" x14ac:dyDescent="0.3">
      <c r="A782" s="79"/>
      <c r="B782" s="51">
        <v>43774</v>
      </c>
      <c r="C782" s="80" t="s">
        <v>32</v>
      </c>
      <c r="D782" s="80" t="s">
        <v>33</v>
      </c>
      <c r="E782" s="53">
        <v>5</v>
      </c>
      <c r="F782" s="81"/>
      <c r="G782" s="81"/>
      <c r="H782" s="81">
        <v>1</v>
      </c>
      <c r="I782" s="81"/>
      <c r="J782" s="81">
        <v>2</v>
      </c>
      <c r="K782" s="81">
        <v>1</v>
      </c>
      <c r="L782" s="81">
        <v>1</v>
      </c>
      <c r="M782" s="81"/>
      <c r="N782" s="81"/>
      <c r="O782" s="64" t="s">
        <v>672</v>
      </c>
      <c r="P782" s="56"/>
      <c r="Q782" s="57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 spans="1:28" ht="14.4" x14ac:dyDescent="0.3">
      <c r="A783" s="79"/>
      <c r="B783" s="51">
        <v>43777</v>
      </c>
      <c r="C783" s="80" t="s">
        <v>71</v>
      </c>
      <c r="D783" s="80" t="s">
        <v>72</v>
      </c>
      <c r="E783" s="53">
        <f>SUM(F783:N783)</f>
        <v>2</v>
      </c>
      <c r="F783" s="81"/>
      <c r="G783" s="81"/>
      <c r="H783" s="81">
        <v>1</v>
      </c>
      <c r="I783" s="81"/>
      <c r="J783" s="81">
        <v>1</v>
      </c>
      <c r="K783" s="81"/>
      <c r="L783" s="81"/>
      <c r="M783" s="81"/>
      <c r="N783" s="81"/>
      <c r="O783" s="64" t="s">
        <v>631</v>
      </c>
      <c r="P783" s="56"/>
      <c r="Q783" s="57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 spans="1:28" ht="14.4" x14ac:dyDescent="0.3">
      <c r="A784" s="79"/>
      <c r="B784" s="51">
        <v>43777</v>
      </c>
      <c r="C784" s="80" t="s">
        <v>17</v>
      </c>
      <c r="D784" s="80" t="s">
        <v>18</v>
      </c>
      <c r="E784" s="53">
        <f>SUM(F784:N784)</f>
        <v>9</v>
      </c>
      <c r="F784" s="81"/>
      <c r="G784" s="81">
        <v>1</v>
      </c>
      <c r="H784" s="81"/>
      <c r="I784" s="81"/>
      <c r="J784" s="81">
        <v>7</v>
      </c>
      <c r="K784" s="81">
        <v>1</v>
      </c>
      <c r="L784" s="81"/>
      <c r="M784" s="81"/>
      <c r="N784" s="81"/>
      <c r="O784" s="64" t="s">
        <v>322</v>
      </c>
      <c r="P784" s="56"/>
      <c r="Q784" s="68" t="s">
        <v>967</v>
      </c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 spans="1:28" ht="14.4" x14ac:dyDescent="0.3">
      <c r="A785" s="79"/>
      <c r="B785" s="51">
        <v>43778</v>
      </c>
      <c r="C785" s="80" t="s">
        <v>94</v>
      </c>
      <c r="D785" s="80" t="s">
        <v>95</v>
      </c>
      <c r="E785" s="53">
        <f>SUM(F785:N785)</f>
        <v>1</v>
      </c>
      <c r="F785" s="81"/>
      <c r="G785" s="81"/>
      <c r="H785" s="81"/>
      <c r="I785" s="81"/>
      <c r="J785" s="81"/>
      <c r="K785" s="81">
        <v>1</v>
      </c>
      <c r="L785" s="81"/>
      <c r="M785" s="81"/>
      <c r="N785" s="81"/>
      <c r="O785" s="64" t="s">
        <v>593</v>
      </c>
      <c r="P785" s="56"/>
      <c r="Q785" s="57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 spans="1:28" ht="14.4" x14ac:dyDescent="0.3">
      <c r="A786" s="79"/>
      <c r="B786" s="51">
        <v>43778</v>
      </c>
      <c r="C786" s="80" t="s">
        <v>23</v>
      </c>
      <c r="D786" s="80" t="s">
        <v>24</v>
      </c>
      <c r="E786" s="53">
        <f>SUM(F786:N786)</f>
        <v>15</v>
      </c>
      <c r="F786" s="81"/>
      <c r="G786" s="81"/>
      <c r="H786" s="81">
        <v>1</v>
      </c>
      <c r="I786" s="81">
        <v>6</v>
      </c>
      <c r="J786" s="81">
        <v>2</v>
      </c>
      <c r="K786" s="81">
        <v>4</v>
      </c>
      <c r="L786" s="81">
        <v>2</v>
      </c>
      <c r="M786" s="81"/>
      <c r="N786" s="81"/>
      <c r="O786" s="64" t="s">
        <v>895</v>
      </c>
      <c r="P786" s="56"/>
      <c r="Q786" s="57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 spans="1:28" ht="14.4" x14ac:dyDescent="0.3">
      <c r="A787" s="79"/>
      <c r="B787" s="51">
        <v>43778</v>
      </c>
      <c r="C787" s="80" t="s">
        <v>62</v>
      </c>
      <c r="D787" s="80" t="s">
        <v>63</v>
      </c>
      <c r="E787" s="53">
        <f>SUM(F787:N787)</f>
        <v>3</v>
      </c>
      <c r="F787" s="81"/>
      <c r="G787" s="81">
        <v>1</v>
      </c>
      <c r="H787" s="81"/>
      <c r="I787" s="81"/>
      <c r="J787" s="81">
        <v>2</v>
      </c>
      <c r="K787" s="81"/>
      <c r="L787" s="81"/>
      <c r="M787" s="81"/>
      <c r="N787" s="81"/>
      <c r="O787" s="64" t="s">
        <v>331</v>
      </c>
      <c r="P787" s="56"/>
      <c r="Q787" s="57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 spans="1:28" ht="14.4" x14ac:dyDescent="0.3">
      <c r="A788" s="79"/>
      <c r="B788" s="51">
        <v>43778</v>
      </c>
      <c r="C788" s="80" t="s">
        <v>26</v>
      </c>
      <c r="D788" s="80" t="s">
        <v>27</v>
      </c>
      <c r="E788" s="53">
        <f>SUM(F788:N788)</f>
        <v>13</v>
      </c>
      <c r="F788" s="81"/>
      <c r="G788" s="81"/>
      <c r="H788" s="81">
        <v>1</v>
      </c>
      <c r="I788" s="81">
        <v>10</v>
      </c>
      <c r="J788" s="81"/>
      <c r="K788" s="81">
        <v>1</v>
      </c>
      <c r="L788" s="81">
        <v>1</v>
      </c>
      <c r="M788" s="81"/>
      <c r="N788" s="81"/>
      <c r="O788" s="64" t="s">
        <v>565</v>
      </c>
      <c r="P788" s="56"/>
      <c r="Q788" s="68" t="s">
        <v>968</v>
      </c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 spans="1:28" ht="14.4" x14ac:dyDescent="0.3">
      <c r="A789" s="79"/>
      <c r="B789" s="51">
        <v>43778</v>
      </c>
      <c r="C789" s="80" t="s">
        <v>14</v>
      </c>
      <c r="D789" s="80" t="s">
        <v>15</v>
      </c>
      <c r="E789" s="53">
        <f>SUM(F789:N789)</f>
        <v>6</v>
      </c>
      <c r="F789" s="81">
        <v>1</v>
      </c>
      <c r="G789" s="81"/>
      <c r="H789" s="81">
        <v>1</v>
      </c>
      <c r="I789" s="81"/>
      <c r="J789" s="81">
        <v>3</v>
      </c>
      <c r="K789" s="81">
        <v>1</v>
      </c>
      <c r="L789" s="81"/>
      <c r="M789" s="81"/>
      <c r="N789" s="81"/>
      <c r="O789" s="64" t="s">
        <v>856</v>
      </c>
      <c r="P789" s="56"/>
      <c r="Q789" s="57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 spans="1:28" ht="14.4" x14ac:dyDescent="0.3">
      <c r="A790" s="79"/>
      <c r="B790" s="51">
        <v>43778</v>
      </c>
      <c r="C790" s="80" t="s">
        <v>17</v>
      </c>
      <c r="D790" s="80" t="s">
        <v>18</v>
      </c>
      <c r="E790" s="53">
        <f>SUM(F790:N790)</f>
        <v>6</v>
      </c>
      <c r="F790" s="81">
        <v>1</v>
      </c>
      <c r="G790" s="81">
        <v>1</v>
      </c>
      <c r="H790" s="81">
        <v>1</v>
      </c>
      <c r="I790" s="81"/>
      <c r="J790" s="81">
        <v>2</v>
      </c>
      <c r="K790" s="81">
        <v>1</v>
      </c>
      <c r="L790" s="81"/>
      <c r="M790" s="81"/>
      <c r="N790" s="81"/>
      <c r="O790" s="64" t="s">
        <v>323</v>
      </c>
      <c r="P790" s="56"/>
      <c r="Q790" s="57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 spans="1:28" ht="14.4" x14ac:dyDescent="0.3">
      <c r="A791" s="79"/>
      <c r="B791" s="51">
        <v>43778</v>
      </c>
      <c r="C791" s="80" t="s">
        <v>20</v>
      </c>
      <c r="D791" s="80" t="s">
        <v>21</v>
      </c>
      <c r="E791" s="53">
        <f>SUM(F791:N791)</f>
        <v>4</v>
      </c>
      <c r="F791" s="81"/>
      <c r="G791" s="81"/>
      <c r="H791" s="81">
        <v>1</v>
      </c>
      <c r="I791" s="81"/>
      <c r="J791" s="81">
        <v>3</v>
      </c>
      <c r="K791" s="81"/>
      <c r="L791" s="81"/>
      <c r="M791" s="81"/>
      <c r="N791" s="81"/>
      <c r="O791" s="64" t="s">
        <v>461</v>
      </c>
      <c r="P791" s="56"/>
      <c r="Q791" s="57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 spans="1:28" ht="14.4" x14ac:dyDescent="0.3">
      <c r="A792" s="79"/>
      <c r="B792" s="51">
        <v>43779</v>
      </c>
      <c r="C792" s="80" t="s">
        <v>50</v>
      </c>
      <c r="D792" s="80" t="s">
        <v>51</v>
      </c>
      <c r="E792" s="53">
        <f>SUM(F792:N792)</f>
        <v>1</v>
      </c>
      <c r="F792" s="81"/>
      <c r="G792" s="81"/>
      <c r="H792" s="81"/>
      <c r="I792" s="81"/>
      <c r="J792" s="81">
        <v>1</v>
      </c>
      <c r="K792" s="81"/>
      <c r="L792" s="81"/>
      <c r="M792" s="81"/>
      <c r="N792" s="81"/>
      <c r="O792" s="64" t="s">
        <v>767</v>
      </c>
      <c r="P792" s="56"/>
      <c r="Q792" s="57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 spans="1:28" ht="14.4" x14ac:dyDescent="0.3">
      <c r="A793" s="79"/>
      <c r="B793" s="51">
        <v>43779</v>
      </c>
      <c r="C793" s="80" t="s">
        <v>142</v>
      </c>
      <c r="D793" s="80" t="s">
        <v>143</v>
      </c>
      <c r="E793" s="53">
        <f>SUM(F793:N793)</f>
        <v>3</v>
      </c>
      <c r="F793" s="81"/>
      <c r="G793" s="81"/>
      <c r="H793" s="81"/>
      <c r="I793" s="81">
        <v>1</v>
      </c>
      <c r="J793" s="81">
        <v>2</v>
      </c>
      <c r="K793" s="81"/>
      <c r="L793" s="81"/>
      <c r="M793" s="81"/>
      <c r="N793" s="81"/>
      <c r="O793" s="64" t="s">
        <v>207</v>
      </c>
      <c r="P793" s="56"/>
      <c r="Q793" s="57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 spans="1:28" ht="14.4" x14ac:dyDescent="0.3">
      <c r="A794" s="79"/>
      <c r="B794" s="51">
        <v>43779</v>
      </c>
      <c r="C794" s="80" t="s">
        <v>47</v>
      </c>
      <c r="D794" s="80" t="s">
        <v>48</v>
      </c>
      <c r="E794" s="53">
        <f>SUM(F794:N794)</f>
        <v>11</v>
      </c>
      <c r="F794" s="81"/>
      <c r="G794" s="81">
        <v>1</v>
      </c>
      <c r="H794" s="81">
        <v>1</v>
      </c>
      <c r="I794" s="81">
        <v>2</v>
      </c>
      <c r="J794" s="81">
        <v>6</v>
      </c>
      <c r="K794" s="81">
        <v>1</v>
      </c>
      <c r="L794" s="81"/>
      <c r="M794" s="81"/>
      <c r="N794" s="81"/>
      <c r="O794" s="64" t="s">
        <v>353</v>
      </c>
      <c r="P794" s="56"/>
      <c r="Q794" s="57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 spans="1:28" ht="14.4" x14ac:dyDescent="0.3">
      <c r="A795" s="79"/>
      <c r="B795" s="51">
        <v>43779</v>
      </c>
      <c r="C795" s="80" t="s">
        <v>38</v>
      </c>
      <c r="D795" s="80" t="s">
        <v>39</v>
      </c>
      <c r="E795" s="53">
        <f>SUM(F795:N795)</f>
        <v>4</v>
      </c>
      <c r="F795" s="81"/>
      <c r="G795" s="81">
        <v>3</v>
      </c>
      <c r="H795" s="81"/>
      <c r="I795" s="81"/>
      <c r="J795" s="81">
        <v>1</v>
      </c>
      <c r="K795" s="81"/>
      <c r="L795" s="81"/>
      <c r="M795" s="81"/>
      <c r="N795" s="81"/>
      <c r="O795" s="64" t="s">
        <v>514</v>
      </c>
      <c r="P795" s="56"/>
      <c r="Q795" s="57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 spans="1:28" ht="14.4" x14ac:dyDescent="0.3">
      <c r="A796" s="79"/>
      <c r="B796" s="51">
        <v>43779</v>
      </c>
      <c r="C796" s="80" t="s">
        <v>17</v>
      </c>
      <c r="D796" s="80" t="s">
        <v>18</v>
      </c>
      <c r="E796" s="53">
        <f>SUM(F796:N796)</f>
        <v>7</v>
      </c>
      <c r="F796" s="81"/>
      <c r="G796" s="81">
        <v>2</v>
      </c>
      <c r="H796" s="81">
        <v>2</v>
      </c>
      <c r="I796" s="81"/>
      <c r="J796" s="81">
        <v>3</v>
      </c>
      <c r="K796" s="81"/>
      <c r="L796" s="81"/>
      <c r="M796" s="81"/>
      <c r="N796" s="81"/>
      <c r="O796" s="64" t="s">
        <v>324</v>
      </c>
      <c r="P796" s="56"/>
      <c r="Q796" s="57" t="s">
        <v>969</v>
      </c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 spans="1:28" ht="14.4" x14ac:dyDescent="0.3">
      <c r="A797" s="79"/>
      <c r="B797" s="51">
        <v>43779</v>
      </c>
      <c r="C797" s="80" t="s">
        <v>20</v>
      </c>
      <c r="D797" s="80" t="s">
        <v>21</v>
      </c>
      <c r="E797" s="53">
        <f>SUM(F797:N797)</f>
        <v>12</v>
      </c>
      <c r="F797" s="81"/>
      <c r="G797" s="81">
        <v>1</v>
      </c>
      <c r="H797" s="81"/>
      <c r="I797" s="81"/>
      <c r="J797" s="81">
        <v>8</v>
      </c>
      <c r="K797" s="81">
        <v>3</v>
      </c>
      <c r="L797" s="81"/>
      <c r="M797" s="81"/>
      <c r="N797" s="81"/>
      <c r="O797" s="64" t="s">
        <v>462</v>
      </c>
      <c r="P797" s="56"/>
      <c r="Q797" s="57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 spans="1:28" ht="14.4" x14ac:dyDescent="0.3">
      <c r="A798" s="79"/>
      <c r="B798" s="51">
        <v>43780</v>
      </c>
      <c r="C798" s="80" t="s">
        <v>32</v>
      </c>
      <c r="D798" s="80" t="s">
        <v>33</v>
      </c>
      <c r="E798" s="53">
        <f>SUM(F798:N798)</f>
        <v>1</v>
      </c>
      <c r="F798" s="81"/>
      <c r="G798" s="81"/>
      <c r="H798" s="81"/>
      <c r="I798" s="81"/>
      <c r="J798" s="81"/>
      <c r="K798" s="81"/>
      <c r="L798" s="81">
        <v>1</v>
      </c>
      <c r="M798" s="81"/>
      <c r="N798" s="81"/>
      <c r="O798" s="64" t="s">
        <v>673</v>
      </c>
      <c r="P798" s="56"/>
      <c r="Q798" s="57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 spans="1:28" ht="14.4" x14ac:dyDescent="0.3">
      <c r="A799" s="79"/>
      <c r="B799" s="51">
        <v>43782</v>
      </c>
      <c r="C799" s="80" t="s">
        <v>14</v>
      </c>
      <c r="D799" s="80" t="s">
        <v>15</v>
      </c>
      <c r="E799" s="53">
        <f>SUM(F799:N799)</f>
        <v>13</v>
      </c>
      <c r="F799" s="81"/>
      <c r="G799" s="81">
        <v>2</v>
      </c>
      <c r="H799" s="81">
        <v>3</v>
      </c>
      <c r="I799" s="81"/>
      <c r="J799" s="81">
        <v>5</v>
      </c>
      <c r="K799" s="81">
        <v>2</v>
      </c>
      <c r="L799" s="81">
        <v>1</v>
      </c>
      <c r="M799" s="81"/>
      <c r="N799" s="81"/>
      <c r="O799" s="64" t="s">
        <v>857</v>
      </c>
      <c r="P799" s="56"/>
      <c r="Q799" s="57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 spans="1:28" ht="14.4" x14ac:dyDescent="0.3">
      <c r="A800" s="79"/>
      <c r="B800" s="51">
        <v>43782</v>
      </c>
      <c r="C800" s="80" t="s">
        <v>53</v>
      </c>
      <c r="D800" s="80" t="s">
        <v>54</v>
      </c>
      <c r="E800" s="53">
        <f>SUM(F800:N800)</f>
        <v>1</v>
      </c>
      <c r="F800" s="81"/>
      <c r="G800" s="81"/>
      <c r="H800" s="81"/>
      <c r="I800" s="81"/>
      <c r="J800" s="81">
        <v>1</v>
      </c>
      <c r="K800" s="81"/>
      <c r="L800" s="81"/>
      <c r="M800" s="81"/>
      <c r="N800" s="81"/>
      <c r="O800" s="64" t="s">
        <v>372</v>
      </c>
      <c r="P800" s="56"/>
      <c r="Q800" s="57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 spans="1:28" ht="14.4" x14ac:dyDescent="0.3">
      <c r="A801" s="79"/>
      <c r="B801" s="51">
        <v>43783</v>
      </c>
      <c r="C801" s="80" t="s">
        <v>62</v>
      </c>
      <c r="D801" s="80" t="s">
        <v>63</v>
      </c>
      <c r="E801" s="53">
        <f>SUM(F801:N801)</f>
        <v>4</v>
      </c>
      <c r="F801" s="81"/>
      <c r="G801" s="81"/>
      <c r="H801" s="81"/>
      <c r="I801" s="81"/>
      <c r="J801" s="81">
        <v>3</v>
      </c>
      <c r="K801" s="81">
        <v>1</v>
      </c>
      <c r="L801" s="81"/>
      <c r="M801" s="81"/>
      <c r="N801" s="81"/>
      <c r="O801" s="64" t="s">
        <v>332</v>
      </c>
      <c r="P801" s="56"/>
      <c r="Q801" s="57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 spans="1:28" ht="14.4" x14ac:dyDescent="0.3">
      <c r="A802" s="79"/>
      <c r="B802" s="51">
        <v>43783</v>
      </c>
      <c r="C802" s="80" t="s">
        <v>23</v>
      </c>
      <c r="D802" s="80" t="s">
        <v>24</v>
      </c>
      <c r="E802" s="53">
        <f>SUM(F802:N802)</f>
        <v>4</v>
      </c>
      <c r="F802" s="81"/>
      <c r="G802" s="81">
        <v>1</v>
      </c>
      <c r="H802" s="81"/>
      <c r="I802" s="81"/>
      <c r="J802" s="81">
        <v>1</v>
      </c>
      <c r="K802" s="81"/>
      <c r="L802" s="81">
        <v>2</v>
      </c>
      <c r="M802" s="81"/>
      <c r="N802" s="81"/>
      <c r="O802" s="64" t="s">
        <v>896</v>
      </c>
      <c r="P802" s="56"/>
      <c r="Q802" s="57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 spans="1:28" ht="14.4" x14ac:dyDescent="0.3">
      <c r="A803" s="79"/>
      <c r="B803" s="51">
        <v>43783</v>
      </c>
      <c r="C803" s="80" t="s">
        <v>20</v>
      </c>
      <c r="D803" s="80" t="s">
        <v>21</v>
      </c>
      <c r="E803" s="53">
        <f>SUM(F803:N803)</f>
        <v>9</v>
      </c>
      <c r="F803" s="81"/>
      <c r="G803" s="81"/>
      <c r="H803" s="81">
        <v>1</v>
      </c>
      <c r="I803" s="81">
        <v>6</v>
      </c>
      <c r="J803" s="81">
        <v>1</v>
      </c>
      <c r="K803" s="81"/>
      <c r="L803" s="81">
        <v>1</v>
      </c>
      <c r="M803" s="81"/>
      <c r="N803" s="81"/>
      <c r="O803" s="64" t="s">
        <v>463</v>
      </c>
      <c r="P803" s="56"/>
      <c r="Q803" s="57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 spans="1:28" ht="14.4" x14ac:dyDescent="0.3">
      <c r="A804" s="79"/>
      <c r="B804" s="51">
        <v>43784</v>
      </c>
      <c r="C804" s="80" t="s">
        <v>26</v>
      </c>
      <c r="D804" s="80" t="s">
        <v>27</v>
      </c>
      <c r="E804" s="53">
        <f>SUM(F804:N804)</f>
        <v>1</v>
      </c>
      <c r="F804" s="81"/>
      <c r="G804" s="81"/>
      <c r="H804" s="81"/>
      <c r="I804" s="81"/>
      <c r="J804" s="81"/>
      <c r="K804" s="81">
        <v>1</v>
      </c>
      <c r="L804" s="81"/>
      <c r="M804" s="81"/>
      <c r="N804" s="81"/>
      <c r="O804" s="64" t="s">
        <v>566</v>
      </c>
      <c r="P804" s="56"/>
      <c r="Q804" s="57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 spans="1:28" ht="14.4" x14ac:dyDescent="0.3">
      <c r="A805" s="79"/>
      <c r="B805" s="51">
        <v>43784</v>
      </c>
      <c r="C805" s="80" t="s">
        <v>17</v>
      </c>
      <c r="D805" s="80" t="s">
        <v>18</v>
      </c>
      <c r="E805" s="53">
        <f>SUM(F805:N805)</f>
        <v>1</v>
      </c>
      <c r="F805" s="81"/>
      <c r="G805" s="81"/>
      <c r="H805" s="81"/>
      <c r="I805" s="81"/>
      <c r="J805" s="81">
        <v>1</v>
      </c>
      <c r="K805" s="81"/>
      <c r="L805" s="81"/>
      <c r="M805" s="81"/>
      <c r="N805" s="81"/>
      <c r="O805" s="64" t="s">
        <v>325</v>
      </c>
      <c r="P805" s="56"/>
      <c r="Q805" s="57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 spans="1:28" ht="14.4" x14ac:dyDescent="0.3">
      <c r="A806" s="79"/>
      <c r="B806" s="51">
        <v>43784</v>
      </c>
      <c r="C806" s="80" t="s">
        <v>23</v>
      </c>
      <c r="D806" s="80" t="s">
        <v>24</v>
      </c>
      <c r="E806" s="53">
        <f>SUM(F806:N806)</f>
        <v>12</v>
      </c>
      <c r="F806" s="81"/>
      <c r="G806" s="81">
        <v>1</v>
      </c>
      <c r="H806" s="81">
        <v>1</v>
      </c>
      <c r="I806" s="81"/>
      <c r="J806" s="81">
        <v>6</v>
      </c>
      <c r="K806" s="81">
        <v>2</v>
      </c>
      <c r="L806" s="81">
        <v>2</v>
      </c>
      <c r="M806" s="81"/>
      <c r="N806" s="81"/>
      <c r="O806" s="64" t="s">
        <v>897</v>
      </c>
      <c r="P806" s="56"/>
      <c r="Q806" s="57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 spans="1:28" ht="14.4" x14ac:dyDescent="0.3">
      <c r="A807" s="79"/>
      <c r="B807" s="51">
        <v>43784</v>
      </c>
      <c r="C807" s="80" t="s">
        <v>47</v>
      </c>
      <c r="D807" s="80" t="s">
        <v>48</v>
      </c>
      <c r="E807" s="53">
        <f>SUM(F807:N807)</f>
        <v>3</v>
      </c>
      <c r="F807" s="81"/>
      <c r="G807" s="81"/>
      <c r="H807" s="81"/>
      <c r="I807" s="81"/>
      <c r="J807" s="81">
        <v>2</v>
      </c>
      <c r="K807" s="81"/>
      <c r="L807" s="81">
        <v>1</v>
      </c>
      <c r="M807" s="81"/>
      <c r="N807" s="81"/>
      <c r="O807" s="64" t="s">
        <v>354</v>
      </c>
      <c r="P807" s="56"/>
      <c r="Q807" s="57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 spans="1:28" ht="14.4" x14ac:dyDescent="0.3">
      <c r="A808" s="79"/>
      <c r="B808" s="51">
        <v>43784</v>
      </c>
      <c r="C808" s="80" t="s">
        <v>20</v>
      </c>
      <c r="D808" s="80" t="s">
        <v>21</v>
      </c>
      <c r="E808" s="53">
        <f>SUM(F808:N808)</f>
        <v>4</v>
      </c>
      <c r="F808" s="81"/>
      <c r="G808" s="81"/>
      <c r="H808" s="81">
        <v>2</v>
      </c>
      <c r="I808" s="81"/>
      <c r="J808" s="81">
        <v>2</v>
      </c>
      <c r="K808" s="81"/>
      <c r="L808" s="81"/>
      <c r="M808" s="81"/>
      <c r="N808" s="81"/>
      <c r="O808" s="64" t="s">
        <v>464</v>
      </c>
      <c r="P808" s="56"/>
      <c r="Q808" s="57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 spans="1:28" ht="14.4" x14ac:dyDescent="0.3">
      <c r="A809" s="79"/>
      <c r="B809" s="51"/>
      <c r="C809" s="80"/>
      <c r="D809" s="80"/>
      <c r="E809" s="53">
        <f>SUM(F809:N809)</f>
        <v>0</v>
      </c>
      <c r="F809" s="81"/>
      <c r="G809" s="81"/>
      <c r="H809" s="81"/>
      <c r="I809" s="81"/>
      <c r="J809" s="81"/>
      <c r="K809" s="81"/>
      <c r="L809" s="81"/>
      <c r="M809" s="81"/>
      <c r="N809" s="81"/>
      <c r="O809" s="64"/>
      <c r="P809" s="56"/>
      <c r="Q809" s="57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 spans="1:28" ht="14.4" x14ac:dyDescent="0.3">
      <c r="A810" s="79"/>
      <c r="B810" s="51"/>
      <c r="C810" s="80"/>
      <c r="D810" s="80"/>
      <c r="E810" s="53">
        <f>SUM(F810:N810)</f>
        <v>0</v>
      </c>
      <c r="F810" s="81"/>
      <c r="G810" s="81"/>
      <c r="H810" s="81"/>
      <c r="I810" s="81"/>
      <c r="J810" s="81"/>
      <c r="K810" s="81"/>
      <c r="L810" s="81"/>
      <c r="M810" s="81"/>
      <c r="N810" s="81"/>
      <c r="O810" s="64"/>
      <c r="P810" s="56"/>
      <c r="Q810" s="57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 spans="1:28" ht="14.4" x14ac:dyDescent="0.3">
      <c r="A811" s="79"/>
      <c r="B811" s="51"/>
      <c r="C811" s="80"/>
      <c r="D811" s="80"/>
      <c r="E811" s="53">
        <f>SUM(F811:N811)</f>
        <v>0</v>
      </c>
      <c r="F811" s="81"/>
      <c r="G811" s="81"/>
      <c r="H811" s="81"/>
      <c r="I811" s="81"/>
      <c r="J811" s="81"/>
      <c r="K811" s="81"/>
      <c r="L811" s="81"/>
      <c r="M811" s="81"/>
      <c r="N811" s="81"/>
      <c r="O811" s="64"/>
      <c r="P811" s="56"/>
      <c r="Q811" s="57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 spans="1:28" ht="14.4" x14ac:dyDescent="0.3">
      <c r="A812" s="79"/>
      <c r="B812" s="51"/>
      <c r="C812" s="80"/>
      <c r="D812" s="80"/>
      <c r="E812" s="53">
        <f>SUM(F812:N812)</f>
        <v>0</v>
      </c>
      <c r="F812" s="81"/>
      <c r="G812" s="81"/>
      <c r="H812" s="81"/>
      <c r="I812" s="81"/>
      <c r="J812" s="81"/>
      <c r="K812" s="81"/>
      <c r="L812" s="81"/>
      <c r="M812" s="81"/>
      <c r="N812" s="81"/>
      <c r="O812" s="64"/>
      <c r="P812" s="56"/>
      <c r="Q812" s="57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 spans="1:28" ht="14.4" x14ac:dyDescent="0.3">
      <c r="A813" s="79"/>
      <c r="B813" s="51"/>
      <c r="C813" s="80"/>
      <c r="D813" s="80"/>
      <c r="E813" s="53">
        <f>SUM(F813:N813)</f>
        <v>0</v>
      </c>
      <c r="F813" s="81"/>
      <c r="G813" s="81"/>
      <c r="H813" s="81"/>
      <c r="I813" s="81"/>
      <c r="J813" s="81"/>
      <c r="K813" s="81"/>
      <c r="L813" s="81"/>
      <c r="M813" s="81"/>
      <c r="N813" s="81"/>
      <c r="O813" s="64"/>
      <c r="P813" s="56"/>
      <c r="Q813" s="57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 spans="1:28" ht="14.4" x14ac:dyDescent="0.3">
      <c r="A814" s="79"/>
      <c r="B814" s="51"/>
      <c r="C814" s="80"/>
      <c r="D814" s="80"/>
      <c r="E814" s="53">
        <f>SUM(F814:N814)</f>
        <v>0</v>
      </c>
      <c r="F814" s="81"/>
      <c r="G814" s="81"/>
      <c r="H814" s="81"/>
      <c r="I814" s="81"/>
      <c r="J814" s="81"/>
      <c r="K814" s="81"/>
      <c r="L814" s="81"/>
      <c r="M814" s="81"/>
      <c r="N814" s="81"/>
      <c r="O814" s="64"/>
      <c r="P814" s="56"/>
      <c r="Q814" s="57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 spans="1:28" ht="14.4" x14ac:dyDescent="0.3">
      <c r="A815" s="79"/>
      <c r="B815" s="51"/>
      <c r="C815" s="80"/>
      <c r="D815" s="80"/>
      <c r="E815" s="53">
        <f>SUM(F815:N815)</f>
        <v>0</v>
      </c>
      <c r="F815" s="81"/>
      <c r="G815" s="81"/>
      <c r="H815" s="81"/>
      <c r="I815" s="81"/>
      <c r="J815" s="81"/>
      <c r="K815" s="81"/>
      <c r="L815" s="81"/>
      <c r="M815" s="81"/>
      <c r="N815" s="81"/>
      <c r="O815" s="64"/>
      <c r="P815" s="56"/>
      <c r="Q815" s="57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 spans="1:28" ht="14.4" x14ac:dyDescent="0.3">
      <c r="A816" s="79"/>
      <c r="B816" s="51"/>
      <c r="C816" s="80"/>
      <c r="D816" s="80"/>
      <c r="E816" s="53">
        <f>SUM(F816:N816)</f>
        <v>0</v>
      </c>
      <c r="F816" s="81"/>
      <c r="G816" s="81"/>
      <c r="H816" s="81"/>
      <c r="I816" s="81"/>
      <c r="J816" s="81"/>
      <c r="K816" s="81"/>
      <c r="L816" s="81"/>
      <c r="M816" s="81"/>
      <c r="N816" s="81"/>
      <c r="O816" s="64"/>
      <c r="P816" s="56"/>
      <c r="Q816" s="57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 spans="1:28" ht="14.4" x14ac:dyDescent="0.3">
      <c r="A817" s="79"/>
      <c r="B817" s="51"/>
      <c r="C817" s="80"/>
      <c r="D817" s="80"/>
      <c r="E817" s="53">
        <f>SUM(F817:N817)</f>
        <v>0</v>
      </c>
      <c r="F817" s="81"/>
      <c r="G817" s="81"/>
      <c r="H817" s="81"/>
      <c r="I817" s="81"/>
      <c r="J817" s="81"/>
      <c r="K817" s="81"/>
      <c r="L817" s="81"/>
      <c r="M817" s="81"/>
      <c r="N817" s="81"/>
      <c r="O817" s="64"/>
      <c r="P817" s="56"/>
      <c r="Q817" s="57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 spans="1:28" ht="14.4" x14ac:dyDescent="0.3">
      <c r="A818" s="79"/>
      <c r="B818" s="51"/>
      <c r="C818" s="80"/>
      <c r="D818" s="80"/>
      <c r="E818" s="53">
        <f>SUM(F818:N818)</f>
        <v>0</v>
      </c>
      <c r="F818" s="81"/>
      <c r="G818" s="81"/>
      <c r="H818" s="81"/>
      <c r="I818" s="81"/>
      <c r="J818" s="81"/>
      <c r="K818" s="81"/>
      <c r="L818" s="81"/>
      <c r="M818" s="81"/>
      <c r="N818" s="81"/>
      <c r="O818" s="64"/>
      <c r="P818" s="56"/>
      <c r="Q818" s="57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 spans="1:28" ht="14.4" x14ac:dyDescent="0.3">
      <c r="A819" s="79"/>
      <c r="B819" s="51"/>
      <c r="C819" s="80"/>
      <c r="D819" s="80"/>
      <c r="E819" s="53">
        <f>SUM(F819:N819)</f>
        <v>0</v>
      </c>
      <c r="F819" s="81"/>
      <c r="G819" s="81"/>
      <c r="H819" s="81"/>
      <c r="I819" s="81"/>
      <c r="J819" s="81"/>
      <c r="K819" s="81"/>
      <c r="L819" s="81"/>
      <c r="M819" s="81"/>
      <c r="N819" s="81"/>
      <c r="O819" s="64"/>
      <c r="P819" s="56"/>
      <c r="Q819" s="57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 spans="1:28" ht="14.4" x14ac:dyDescent="0.3">
      <c r="A820" s="79"/>
      <c r="B820" s="51"/>
      <c r="C820" s="80"/>
      <c r="D820" s="80"/>
      <c r="E820" s="53">
        <f>SUM(F820:N820)</f>
        <v>0</v>
      </c>
      <c r="F820" s="81"/>
      <c r="G820" s="81"/>
      <c r="H820" s="81"/>
      <c r="I820" s="81"/>
      <c r="J820" s="81"/>
      <c r="K820" s="81"/>
      <c r="L820" s="81"/>
      <c r="M820" s="81"/>
      <c r="N820" s="81"/>
      <c r="O820" s="64"/>
      <c r="P820" s="56"/>
      <c r="Q820" s="57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 spans="1:28" ht="14.4" x14ac:dyDescent="0.3">
      <c r="A821" s="79"/>
      <c r="B821" s="51"/>
      <c r="C821" s="80"/>
      <c r="D821" s="80"/>
      <c r="E821" s="53">
        <f>SUM(F821:N821)</f>
        <v>0</v>
      </c>
      <c r="F821" s="81"/>
      <c r="G821" s="81"/>
      <c r="H821" s="81"/>
      <c r="I821" s="81"/>
      <c r="J821" s="81"/>
      <c r="K821" s="81"/>
      <c r="L821" s="81"/>
      <c r="M821" s="81"/>
      <c r="N821" s="81"/>
      <c r="O821" s="64"/>
      <c r="P821" s="56"/>
      <c r="Q821" s="57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 spans="1:28" ht="14.4" x14ac:dyDescent="0.3">
      <c r="A822" s="79"/>
      <c r="B822" s="51"/>
      <c r="C822" s="80"/>
      <c r="D822" s="80"/>
      <c r="E822" s="53">
        <f>SUM(F822:N822)</f>
        <v>0</v>
      </c>
      <c r="F822" s="81"/>
      <c r="G822" s="81"/>
      <c r="H822" s="81"/>
      <c r="I822" s="81"/>
      <c r="J822" s="81"/>
      <c r="K822" s="81"/>
      <c r="L822" s="81"/>
      <c r="M822" s="81"/>
      <c r="N822" s="81"/>
      <c r="O822" s="64"/>
      <c r="P822" s="56"/>
      <c r="Q822" s="57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 spans="1:28" ht="14.4" x14ac:dyDescent="0.3">
      <c r="A823" s="79"/>
      <c r="B823" s="51"/>
      <c r="C823" s="80"/>
      <c r="D823" s="80"/>
      <c r="E823" s="53">
        <f>SUM(F823:N823)</f>
        <v>0</v>
      </c>
      <c r="F823" s="81"/>
      <c r="G823" s="81"/>
      <c r="H823" s="81"/>
      <c r="I823" s="81"/>
      <c r="J823" s="81"/>
      <c r="K823" s="81"/>
      <c r="L823" s="81"/>
      <c r="M823" s="81"/>
      <c r="N823" s="81"/>
      <c r="O823" s="64"/>
      <c r="P823" s="56"/>
      <c r="Q823" s="57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 spans="1:28" ht="14.4" x14ac:dyDescent="0.3">
      <c r="A824" s="79"/>
      <c r="B824" s="51"/>
      <c r="C824" s="80"/>
      <c r="D824" s="80"/>
      <c r="E824" s="53">
        <f>SUM(F824:N824)</f>
        <v>0</v>
      </c>
      <c r="F824" s="81"/>
      <c r="G824" s="81"/>
      <c r="H824" s="81"/>
      <c r="I824" s="81"/>
      <c r="J824" s="81"/>
      <c r="K824" s="81"/>
      <c r="L824" s="81"/>
      <c r="M824" s="81"/>
      <c r="N824" s="81"/>
      <c r="O824" s="64"/>
      <c r="P824" s="56"/>
      <c r="Q824" s="57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 spans="1:28" ht="14.4" x14ac:dyDescent="0.3">
      <c r="A825" s="79"/>
      <c r="B825" s="51"/>
      <c r="C825" s="80"/>
      <c r="D825" s="80"/>
      <c r="E825" s="53">
        <f>SUM(F825:N825)</f>
        <v>0</v>
      </c>
      <c r="F825" s="81"/>
      <c r="G825" s="81"/>
      <c r="H825" s="81"/>
      <c r="I825" s="81"/>
      <c r="J825" s="81"/>
      <c r="K825" s="81"/>
      <c r="L825" s="81"/>
      <c r="M825" s="81"/>
      <c r="N825" s="81"/>
      <c r="O825" s="64"/>
      <c r="P825" s="56"/>
      <c r="Q825" s="57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 spans="1:28" ht="14.4" x14ac:dyDescent="0.3">
      <c r="A826" s="79"/>
      <c r="B826" s="51"/>
      <c r="C826" s="80"/>
      <c r="D826" s="80"/>
      <c r="E826" s="53">
        <f>SUM(F826:N826)</f>
        <v>0</v>
      </c>
      <c r="F826" s="81"/>
      <c r="G826" s="81"/>
      <c r="H826" s="81"/>
      <c r="I826" s="81"/>
      <c r="J826" s="81"/>
      <c r="K826" s="81"/>
      <c r="L826" s="81"/>
      <c r="M826" s="81"/>
      <c r="N826" s="81"/>
      <c r="O826" s="64"/>
      <c r="P826" s="56"/>
      <c r="Q826" s="57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 spans="1:28" ht="14.4" x14ac:dyDescent="0.3">
      <c r="A827" s="79"/>
      <c r="B827" s="51"/>
      <c r="C827" s="80"/>
      <c r="D827" s="80"/>
      <c r="E827" s="53">
        <f>SUM(F827:N827)</f>
        <v>0</v>
      </c>
      <c r="F827" s="81"/>
      <c r="G827" s="81"/>
      <c r="H827" s="81"/>
      <c r="I827" s="81"/>
      <c r="J827" s="81"/>
      <c r="K827" s="81"/>
      <c r="L827" s="81"/>
      <c r="M827" s="81"/>
      <c r="N827" s="81"/>
      <c r="O827" s="64"/>
      <c r="P827" s="56"/>
      <c r="Q827" s="57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 spans="1:28" ht="14.4" x14ac:dyDescent="0.3">
      <c r="A828" s="79"/>
      <c r="B828" s="51"/>
      <c r="C828" s="80"/>
      <c r="D828" s="80"/>
      <c r="E828" s="53">
        <f>SUM(F828:N828)</f>
        <v>0</v>
      </c>
      <c r="F828" s="81"/>
      <c r="G828" s="81"/>
      <c r="H828" s="81"/>
      <c r="I828" s="81"/>
      <c r="J828" s="81"/>
      <c r="K828" s="81"/>
      <c r="L828" s="81"/>
      <c r="M828" s="81"/>
      <c r="N828" s="81"/>
      <c r="O828" s="64"/>
      <c r="P828" s="56"/>
      <c r="Q828" s="57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 spans="1:28" ht="14.4" x14ac:dyDescent="0.3">
      <c r="A829" s="79"/>
      <c r="B829" s="51"/>
      <c r="C829" s="80"/>
      <c r="D829" s="80"/>
      <c r="E829" s="53">
        <f>SUM(F829:N829)</f>
        <v>0</v>
      </c>
      <c r="F829" s="81"/>
      <c r="G829" s="81"/>
      <c r="H829" s="81"/>
      <c r="I829" s="81"/>
      <c r="J829" s="81"/>
      <c r="K829" s="81"/>
      <c r="L829" s="81"/>
      <c r="M829" s="81"/>
      <c r="N829" s="81"/>
      <c r="O829" s="64"/>
      <c r="P829" s="56"/>
      <c r="Q829" s="57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 spans="1:28" ht="14.4" x14ac:dyDescent="0.3">
      <c r="A830" s="79"/>
      <c r="B830" s="51"/>
      <c r="C830" s="80"/>
      <c r="D830" s="80"/>
      <c r="E830" s="53">
        <f>SUM(F830:N830)</f>
        <v>0</v>
      </c>
      <c r="F830" s="81"/>
      <c r="G830" s="81"/>
      <c r="H830" s="81"/>
      <c r="I830" s="81"/>
      <c r="J830" s="81"/>
      <c r="K830" s="81"/>
      <c r="L830" s="81"/>
      <c r="M830" s="81"/>
      <c r="N830" s="81"/>
      <c r="O830" s="64"/>
      <c r="P830" s="56"/>
      <c r="Q830" s="57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 spans="1:28" ht="14.4" x14ac:dyDescent="0.3">
      <c r="A831" s="79"/>
      <c r="B831" s="51"/>
      <c r="C831" s="80"/>
      <c r="D831" s="80"/>
      <c r="E831" s="53">
        <f>SUM(F831:N831)</f>
        <v>0</v>
      </c>
      <c r="F831" s="81"/>
      <c r="G831" s="81"/>
      <c r="H831" s="81"/>
      <c r="I831" s="81"/>
      <c r="J831" s="81"/>
      <c r="K831" s="81"/>
      <c r="L831" s="81"/>
      <c r="M831" s="81"/>
      <c r="N831" s="81"/>
      <c r="O831" s="64"/>
      <c r="P831" s="56"/>
      <c r="Q831" s="57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 spans="1:28" ht="14.4" x14ac:dyDescent="0.3">
      <c r="A832" s="79"/>
      <c r="B832" s="51"/>
      <c r="C832" s="80"/>
      <c r="D832" s="80"/>
      <c r="E832" s="53">
        <f>SUM(F832:N832)</f>
        <v>0</v>
      </c>
      <c r="F832" s="81"/>
      <c r="G832" s="81"/>
      <c r="H832" s="81"/>
      <c r="I832" s="81"/>
      <c r="J832" s="81"/>
      <c r="K832" s="81"/>
      <c r="L832" s="81"/>
      <c r="M832" s="81"/>
      <c r="N832" s="81"/>
      <c r="O832" s="64"/>
      <c r="P832" s="56"/>
      <c r="Q832" s="57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 spans="1:28" ht="14.4" x14ac:dyDescent="0.3">
      <c r="A833" s="79"/>
      <c r="B833" s="51"/>
      <c r="C833" s="80"/>
      <c r="D833" s="80"/>
      <c r="E833" s="53">
        <f>SUM(F833:N833)</f>
        <v>0</v>
      </c>
      <c r="F833" s="81"/>
      <c r="G833" s="81"/>
      <c r="H833" s="81"/>
      <c r="I833" s="81"/>
      <c r="J833" s="81"/>
      <c r="K833" s="81"/>
      <c r="L833" s="81"/>
      <c r="M833" s="81"/>
      <c r="N833" s="81"/>
      <c r="O833" s="64"/>
      <c r="P833" s="56"/>
      <c r="Q833" s="57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 spans="1:28" ht="14.4" x14ac:dyDescent="0.3">
      <c r="A834" s="79"/>
      <c r="B834" s="51"/>
      <c r="C834" s="80"/>
      <c r="D834" s="80"/>
      <c r="E834" s="53">
        <f>SUM(F834:N834)</f>
        <v>0</v>
      </c>
      <c r="F834" s="81"/>
      <c r="G834" s="81"/>
      <c r="H834" s="81"/>
      <c r="I834" s="81"/>
      <c r="J834" s="81"/>
      <c r="K834" s="81"/>
      <c r="L834" s="81"/>
      <c r="M834" s="81"/>
      <c r="N834" s="81"/>
      <c r="O834" s="64"/>
      <c r="P834" s="56"/>
      <c r="Q834" s="57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 spans="1:28" ht="14.4" x14ac:dyDescent="0.3">
      <c r="A835" s="79"/>
      <c r="B835" s="51"/>
      <c r="C835" s="80"/>
      <c r="D835" s="80"/>
      <c r="E835" s="53">
        <f>SUM(F835:N835)</f>
        <v>0</v>
      </c>
      <c r="F835" s="81"/>
      <c r="G835" s="81"/>
      <c r="H835" s="81"/>
      <c r="I835" s="81"/>
      <c r="J835" s="81"/>
      <c r="K835" s="81"/>
      <c r="L835" s="81"/>
      <c r="M835" s="81"/>
      <c r="N835" s="81"/>
      <c r="O835" s="64"/>
      <c r="P835" s="56"/>
      <c r="Q835" s="57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 spans="1:28" ht="14.4" x14ac:dyDescent="0.3">
      <c r="A836" s="79"/>
      <c r="B836" s="51"/>
      <c r="C836" s="80"/>
      <c r="D836" s="80"/>
      <c r="E836" s="53">
        <f>SUM(F836:N836)</f>
        <v>0</v>
      </c>
      <c r="F836" s="81"/>
      <c r="G836" s="81"/>
      <c r="H836" s="81"/>
      <c r="I836" s="81"/>
      <c r="J836" s="81"/>
      <c r="K836" s="81"/>
      <c r="L836" s="81"/>
      <c r="M836" s="81"/>
      <c r="N836" s="81"/>
      <c r="O836" s="64"/>
      <c r="P836" s="56"/>
      <c r="Q836" s="57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 spans="1:28" ht="14.4" x14ac:dyDescent="0.3">
      <c r="A837" s="79"/>
      <c r="B837" s="51"/>
      <c r="C837" s="80"/>
      <c r="D837" s="80"/>
      <c r="E837" s="53">
        <f>SUM(F837:N837)</f>
        <v>0</v>
      </c>
      <c r="F837" s="81"/>
      <c r="G837" s="81"/>
      <c r="H837" s="81"/>
      <c r="I837" s="81"/>
      <c r="J837" s="81"/>
      <c r="K837" s="81"/>
      <c r="L837" s="81"/>
      <c r="M837" s="81"/>
      <c r="N837" s="81"/>
      <c r="O837" s="64"/>
      <c r="P837" s="56"/>
      <c r="Q837" s="57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 spans="1:28" ht="14.4" x14ac:dyDescent="0.3">
      <c r="A838" s="79"/>
      <c r="B838" s="51"/>
      <c r="C838" s="80"/>
      <c r="D838" s="80"/>
      <c r="E838" s="53">
        <f>SUM(F838:N838)</f>
        <v>0</v>
      </c>
      <c r="F838" s="81"/>
      <c r="G838" s="81"/>
      <c r="H838" s="81"/>
      <c r="I838" s="81"/>
      <c r="J838" s="81"/>
      <c r="K838" s="81"/>
      <c r="L838" s="81"/>
      <c r="M838" s="81"/>
      <c r="N838" s="81"/>
      <c r="O838" s="64"/>
      <c r="P838" s="56"/>
      <c r="Q838" s="57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 spans="1:28" ht="14.4" x14ac:dyDescent="0.3">
      <c r="A839" s="79"/>
      <c r="B839" s="51"/>
      <c r="C839" s="80"/>
      <c r="D839" s="80"/>
      <c r="E839" s="53">
        <f>SUM(F839:N839)</f>
        <v>0</v>
      </c>
      <c r="F839" s="81"/>
      <c r="G839" s="81"/>
      <c r="H839" s="81"/>
      <c r="I839" s="81"/>
      <c r="J839" s="81"/>
      <c r="K839" s="81"/>
      <c r="L839" s="81"/>
      <c r="M839" s="81"/>
      <c r="N839" s="81"/>
      <c r="O839" s="64"/>
      <c r="P839" s="56"/>
      <c r="Q839" s="57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 spans="1:28" ht="14.4" x14ac:dyDescent="0.3">
      <c r="A840" s="79"/>
      <c r="B840" s="51"/>
      <c r="C840" s="80"/>
      <c r="D840" s="80"/>
      <c r="E840" s="53">
        <f>SUM(F840:N840)</f>
        <v>0</v>
      </c>
      <c r="F840" s="81"/>
      <c r="G840" s="81"/>
      <c r="H840" s="81"/>
      <c r="I840" s="81"/>
      <c r="J840" s="81"/>
      <c r="K840" s="81"/>
      <c r="L840" s="81"/>
      <c r="M840" s="81"/>
      <c r="N840" s="81"/>
      <c r="O840" s="64"/>
      <c r="P840" s="56"/>
      <c r="Q840" s="57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 spans="1:28" ht="14.4" x14ac:dyDescent="0.3">
      <c r="A841" s="79"/>
      <c r="B841" s="51"/>
      <c r="C841" s="80"/>
      <c r="D841" s="80"/>
      <c r="E841" s="53">
        <f>SUM(F841:N841)</f>
        <v>0</v>
      </c>
      <c r="F841" s="81"/>
      <c r="G841" s="81"/>
      <c r="H841" s="81"/>
      <c r="I841" s="81"/>
      <c r="J841" s="81"/>
      <c r="K841" s="81"/>
      <c r="L841" s="81"/>
      <c r="M841" s="81"/>
      <c r="N841" s="81"/>
      <c r="O841" s="64"/>
      <c r="P841" s="56"/>
      <c r="Q841" s="57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 spans="1:28" ht="14.4" x14ac:dyDescent="0.3">
      <c r="A842" s="79"/>
      <c r="B842" s="51"/>
      <c r="C842" s="80"/>
      <c r="D842" s="80"/>
      <c r="E842" s="53">
        <f>SUM(F842:N842)</f>
        <v>0</v>
      </c>
      <c r="F842" s="81"/>
      <c r="G842" s="81"/>
      <c r="H842" s="81"/>
      <c r="I842" s="81"/>
      <c r="J842" s="81"/>
      <c r="K842" s="81"/>
      <c r="L842" s="81"/>
      <c r="M842" s="81"/>
      <c r="N842" s="81"/>
      <c r="O842" s="64"/>
      <c r="P842" s="56"/>
      <c r="Q842" s="57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 spans="1:28" ht="14.4" x14ac:dyDescent="0.3">
      <c r="A843" s="79"/>
      <c r="B843" s="51"/>
      <c r="C843" s="80"/>
      <c r="D843" s="80"/>
      <c r="E843" s="53">
        <f>SUM(F843:N843)</f>
        <v>0</v>
      </c>
      <c r="F843" s="81"/>
      <c r="G843" s="81"/>
      <c r="H843" s="81"/>
      <c r="I843" s="81"/>
      <c r="J843" s="81"/>
      <c r="K843" s="81"/>
      <c r="L843" s="81"/>
      <c r="M843" s="81"/>
      <c r="N843" s="81"/>
      <c r="O843" s="64"/>
      <c r="P843" s="56"/>
      <c r="Q843" s="57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 spans="1:28" ht="14.4" x14ac:dyDescent="0.3">
      <c r="A844" s="79"/>
      <c r="B844" s="51"/>
      <c r="C844" s="80"/>
      <c r="D844" s="80"/>
      <c r="E844" s="53">
        <f>SUM(F844:N844)</f>
        <v>0</v>
      </c>
      <c r="F844" s="81"/>
      <c r="G844" s="81"/>
      <c r="H844" s="81"/>
      <c r="I844" s="81"/>
      <c r="J844" s="81"/>
      <c r="K844" s="81"/>
      <c r="L844" s="81"/>
      <c r="M844" s="81"/>
      <c r="N844" s="81"/>
      <c r="O844" s="64"/>
      <c r="P844" s="56"/>
      <c r="Q844" s="57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 spans="1:28" ht="14.4" x14ac:dyDescent="0.3">
      <c r="A845" s="79"/>
      <c r="B845" s="51"/>
      <c r="C845" s="80"/>
      <c r="D845" s="80"/>
      <c r="E845" s="53">
        <f>SUM(F845:N845)</f>
        <v>0</v>
      </c>
      <c r="F845" s="81"/>
      <c r="G845" s="81"/>
      <c r="H845" s="81"/>
      <c r="I845" s="81"/>
      <c r="J845" s="81"/>
      <c r="K845" s="81"/>
      <c r="L845" s="81"/>
      <c r="M845" s="81"/>
      <c r="N845" s="81"/>
      <c r="O845" s="64"/>
      <c r="P845" s="56"/>
      <c r="Q845" s="57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 spans="1:28" ht="14.4" x14ac:dyDescent="0.3">
      <c r="A846" s="79"/>
      <c r="B846" s="51"/>
      <c r="C846" s="80"/>
      <c r="D846" s="80"/>
      <c r="E846" s="53">
        <f>SUM(F846:N846)</f>
        <v>0</v>
      </c>
      <c r="F846" s="81"/>
      <c r="G846" s="81"/>
      <c r="H846" s="81"/>
      <c r="I846" s="81"/>
      <c r="J846" s="81"/>
      <c r="K846" s="81"/>
      <c r="L846" s="81"/>
      <c r="M846" s="81"/>
      <c r="N846" s="81"/>
      <c r="O846" s="64"/>
      <c r="P846" s="56"/>
      <c r="Q846" s="57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 spans="1:28" ht="14.4" x14ac:dyDescent="0.3">
      <c r="A847" s="79"/>
      <c r="B847" s="51"/>
      <c r="C847" s="80"/>
      <c r="D847" s="80"/>
      <c r="E847" s="53">
        <f>SUM(F847:N847)</f>
        <v>0</v>
      </c>
      <c r="F847" s="81"/>
      <c r="G847" s="81"/>
      <c r="H847" s="81"/>
      <c r="I847" s="81"/>
      <c r="J847" s="81"/>
      <c r="K847" s="81"/>
      <c r="L847" s="81"/>
      <c r="M847" s="81"/>
      <c r="N847" s="81"/>
      <c r="O847" s="64"/>
      <c r="P847" s="56"/>
      <c r="Q847" s="57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 spans="1:28" ht="14.4" x14ac:dyDescent="0.3">
      <c r="A848" s="79"/>
      <c r="B848" s="51"/>
      <c r="C848" s="80"/>
      <c r="D848" s="80"/>
      <c r="E848" s="53">
        <f>SUM(F848:N848)</f>
        <v>0</v>
      </c>
      <c r="F848" s="81"/>
      <c r="G848" s="81"/>
      <c r="H848" s="81"/>
      <c r="I848" s="81"/>
      <c r="J848" s="81"/>
      <c r="K848" s="81"/>
      <c r="L848" s="81"/>
      <c r="M848" s="81"/>
      <c r="N848" s="81"/>
      <c r="O848" s="64"/>
      <c r="P848" s="56"/>
      <c r="Q848" s="57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 spans="1:28" ht="14.4" x14ac:dyDescent="0.3">
      <c r="A849" s="79"/>
      <c r="B849" s="51"/>
      <c r="C849" s="80"/>
      <c r="D849" s="80"/>
      <c r="E849" s="53">
        <f>SUM(F849:N849)</f>
        <v>0</v>
      </c>
      <c r="F849" s="81"/>
      <c r="G849" s="81"/>
      <c r="H849" s="81"/>
      <c r="I849" s="81"/>
      <c r="J849" s="81"/>
      <c r="K849" s="81"/>
      <c r="L849" s="81"/>
      <c r="M849" s="81"/>
      <c r="N849" s="81"/>
      <c r="O849" s="64"/>
      <c r="P849" s="56"/>
      <c r="Q849" s="57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 spans="1:28" ht="14.4" x14ac:dyDescent="0.3">
      <c r="A850" s="79"/>
      <c r="B850" s="51"/>
      <c r="C850" s="80"/>
      <c r="D850" s="80"/>
      <c r="E850" s="53">
        <f>SUM(F850:N850)</f>
        <v>0</v>
      </c>
      <c r="F850" s="81"/>
      <c r="G850" s="81"/>
      <c r="H850" s="81"/>
      <c r="I850" s="81"/>
      <c r="J850" s="81"/>
      <c r="K850" s="81"/>
      <c r="L850" s="81"/>
      <c r="M850" s="81"/>
      <c r="N850" s="81"/>
      <c r="O850" s="64"/>
      <c r="P850" s="56"/>
      <c r="Q850" s="57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 spans="1:28" ht="14.4" x14ac:dyDescent="0.3">
      <c r="A851" s="79"/>
      <c r="B851" s="51"/>
      <c r="C851" s="80"/>
      <c r="D851" s="80"/>
      <c r="E851" s="53">
        <f>SUM(F851:N851)</f>
        <v>0</v>
      </c>
      <c r="F851" s="81"/>
      <c r="G851" s="81"/>
      <c r="H851" s="81"/>
      <c r="I851" s="81"/>
      <c r="J851" s="81"/>
      <c r="K851" s="81"/>
      <c r="L851" s="81"/>
      <c r="M851" s="81"/>
      <c r="N851" s="81"/>
      <c r="O851" s="64"/>
      <c r="P851" s="56"/>
      <c r="Q851" s="57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 spans="1:28" ht="14.4" x14ac:dyDescent="0.3">
      <c r="A852" s="79"/>
      <c r="B852" s="51"/>
      <c r="C852" s="80"/>
      <c r="D852" s="80"/>
      <c r="E852" s="53">
        <f>SUM(F852:N852)</f>
        <v>0</v>
      </c>
      <c r="F852" s="81"/>
      <c r="G852" s="81"/>
      <c r="H852" s="81"/>
      <c r="I852" s="81"/>
      <c r="J852" s="81"/>
      <c r="K852" s="81"/>
      <c r="L852" s="81"/>
      <c r="M852" s="81"/>
      <c r="N852" s="81"/>
      <c r="O852" s="64"/>
      <c r="P852" s="56"/>
      <c r="Q852" s="57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 spans="1:28" ht="14.4" x14ac:dyDescent="0.3">
      <c r="A853" s="79"/>
      <c r="B853" s="51"/>
      <c r="C853" s="80"/>
      <c r="D853" s="80"/>
      <c r="E853" s="53">
        <f>SUM(F853:N853)</f>
        <v>0</v>
      </c>
      <c r="F853" s="81"/>
      <c r="G853" s="81"/>
      <c r="H853" s="81"/>
      <c r="I853" s="81"/>
      <c r="J853" s="81"/>
      <c r="K853" s="81"/>
      <c r="L853" s="81"/>
      <c r="M853" s="81"/>
      <c r="N853" s="81"/>
      <c r="O853" s="64"/>
      <c r="P853" s="56"/>
      <c r="Q853" s="57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 spans="1:28" ht="14.4" x14ac:dyDescent="0.3">
      <c r="A854" s="79"/>
      <c r="B854" s="51"/>
      <c r="C854" s="80"/>
      <c r="D854" s="80"/>
      <c r="E854" s="53">
        <f>SUM(F854:N854)</f>
        <v>0</v>
      </c>
      <c r="F854" s="81"/>
      <c r="G854" s="81"/>
      <c r="H854" s="81"/>
      <c r="I854" s="81"/>
      <c r="J854" s="81"/>
      <c r="K854" s="81"/>
      <c r="L854" s="81"/>
      <c r="M854" s="81"/>
      <c r="N854" s="81"/>
      <c r="O854" s="64"/>
      <c r="P854" s="56"/>
      <c r="Q854" s="57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 spans="1:28" ht="14.4" x14ac:dyDescent="0.3">
      <c r="A855" s="79"/>
      <c r="B855" s="51"/>
      <c r="C855" s="80"/>
      <c r="D855" s="80"/>
      <c r="E855" s="53">
        <f>SUM(F855:N855)</f>
        <v>0</v>
      </c>
      <c r="F855" s="81"/>
      <c r="G855" s="81"/>
      <c r="H855" s="81"/>
      <c r="I855" s="81"/>
      <c r="J855" s="81"/>
      <c r="K855" s="81"/>
      <c r="L855" s="81"/>
      <c r="M855" s="81"/>
      <c r="N855" s="81"/>
      <c r="O855" s="64"/>
      <c r="P855" s="56"/>
      <c r="Q855" s="57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 spans="1:28" ht="14.4" x14ac:dyDescent="0.3">
      <c r="A856" s="79"/>
      <c r="B856" s="51"/>
      <c r="C856" s="80"/>
      <c r="D856" s="80"/>
      <c r="E856" s="53">
        <f>SUM(F856:N856)</f>
        <v>0</v>
      </c>
      <c r="F856" s="81"/>
      <c r="G856" s="81"/>
      <c r="H856" s="81"/>
      <c r="I856" s="81"/>
      <c r="J856" s="81"/>
      <c r="K856" s="81"/>
      <c r="L856" s="81"/>
      <c r="M856" s="81"/>
      <c r="N856" s="81"/>
      <c r="O856" s="64"/>
      <c r="P856" s="56"/>
      <c r="Q856" s="57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 spans="1:28" ht="14.4" x14ac:dyDescent="0.3">
      <c r="A857" s="79"/>
      <c r="B857" s="51"/>
      <c r="C857" s="80"/>
      <c r="D857" s="80"/>
      <c r="E857" s="53">
        <f>SUM(F857:N857)</f>
        <v>0</v>
      </c>
      <c r="F857" s="81"/>
      <c r="G857" s="81"/>
      <c r="H857" s="81"/>
      <c r="I857" s="81"/>
      <c r="J857" s="81"/>
      <c r="K857" s="81"/>
      <c r="L857" s="81"/>
      <c r="M857" s="81"/>
      <c r="N857" s="81"/>
      <c r="O857" s="64"/>
      <c r="P857" s="56"/>
      <c r="Q857" s="57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 spans="1:28" ht="14.4" x14ac:dyDescent="0.3">
      <c r="A858" s="79"/>
      <c r="B858" s="51"/>
      <c r="C858" s="80"/>
      <c r="D858" s="80"/>
      <c r="E858" s="53">
        <f>SUM(F858:N858)</f>
        <v>0</v>
      </c>
      <c r="F858" s="81"/>
      <c r="G858" s="81"/>
      <c r="H858" s="81"/>
      <c r="I858" s="81"/>
      <c r="J858" s="81"/>
      <c r="K858" s="81"/>
      <c r="L858" s="81"/>
      <c r="M858" s="81"/>
      <c r="N858" s="81"/>
      <c r="O858" s="64"/>
      <c r="P858" s="56"/>
      <c r="Q858" s="57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 spans="1:28" ht="14.4" x14ac:dyDescent="0.3">
      <c r="A859" s="79"/>
      <c r="B859" s="51"/>
      <c r="C859" s="80"/>
      <c r="D859" s="80"/>
      <c r="E859" s="53">
        <f>SUM(F859:N859)</f>
        <v>0</v>
      </c>
      <c r="F859" s="81"/>
      <c r="G859" s="81"/>
      <c r="H859" s="81"/>
      <c r="I859" s="81"/>
      <c r="J859" s="81"/>
      <c r="K859" s="81"/>
      <c r="L859" s="81"/>
      <c r="M859" s="81"/>
      <c r="N859" s="81"/>
      <c r="O859" s="64"/>
      <c r="P859" s="56"/>
      <c r="Q859" s="57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 spans="1:28" ht="14.4" x14ac:dyDescent="0.3">
      <c r="A860" s="79"/>
      <c r="B860" s="51"/>
      <c r="C860" s="80"/>
      <c r="D860" s="80"/>
      <c r="E860" s="53">
        <f>SUM(F860:N860)</f>
        <v>0</v>
      </c>
      <c r="F860" s="81"/>
      <c r="G860" s="81"/>
      <c r="H860" s="81"/>
      <c r="I860" s="81"/>
      <c r="J860" s="81"/>
      <c r="K860" s="81"/>
      <c r="L860" s="81"/>
      <c r="M860" s="81"/>
      <c r="N860" s="81"/>
      <c r="O860" s="64"/>
      <c r="P860" s="56"/>
      <c r="Q860" s="57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 spans="1:28" ht="14.4" x14ac:dyDescent="0.3">
      <c r="A861" s="79"/>
      <c r="B861" s="51"/>
      <c r="C861" s="80"/>
      <c r="D861" s="80"/>
      <c r="E861" s="53">
        <f>SUM(F861:N861)</f>
        <v>0</v>
      </c>
      <c r="F861" s="81"/>
      <c r="G861" s="81"/>
      <c r="H861" s="81"/>
      <c r="I861" s="81"/>
      <c r="J861" s="81"/>
      <c r="K861" s="81"/>
      <c r="L861" s="81"/>
      <c r="M861" s="81"/>
      <c r="N861" s="81"/>
      <c r="O861" s="64"/>
      <c r="P861" s="56"/>
      <c r="Q861" s="57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 spans="1:28" ht="14.4" x14ac:dyDescent="0.3">
      <c r="A862" s="79"/>
      <c r="B862" s="51"/>
      <c r="C862" s="80"/>
      <c r="D862" s="80"/>
      <c r="E862" s="53">
        <f>SUM(F862:N862)</f>
        <v>0</v>
      </c>
      <c r="F862" s="81"/>
      <c r="G862" s="81"/>
      <c r="H862" s="81"/>
      <c r="I862" s="81"/>
      <c r="J862" s="81"/>
      <c r="K862" s="81"/>
      <c r="L862" s="81"/>
      <c r="M862" s="81"/>
      <c r="N862" s="81"/>
      <c r="O862" s="64"/>
      <c r="P862" s="56"/>
      <c r="Q862" s="57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 spans="1:28" ht="14.4" x14ac:dyDescent="0.3">
      <c r="A863" s="79"/>
      <c r="B863" s="51"/>
      <c r="C863" s="80"/>
      <c r="D863" s="80"/>
      <c r="E863" s="53">
        <f>SUM(F863:N863)</f>
        <v>0</v>
      </c>
      <c r="F863" s="81"/>
      <c r="G863" s="81"/>
      <c r="H863" s="81"/>
      <c r="I863" s="81"/>
      <c r="J863" s="81"/>
      <c r="K863" s="81"/>
      <c r="L863" s="81"/>
      <c r="M863" s="81"/>
      <c r="N863" s="81"/>
      <c r="O863" s="64"/>
      <c r="P863" s="56"/>
      <c r="Q863" s="57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 spans="1:28" ht="14.4" x14ac:dyDescent="0.3">
      <c r="A864" s="79"/>
      <c r="B864" s="51"/>
      <c r="C864" s="80"/>
      <c r="D864" s="80"/>
      <c r="E864" s="53">
        <f>SUM(F864:N864)</f>
        <v>0</v>
      </c>
      <c r="F864" s="81"/>
      <c r="G864" s="81"/>
      <c r="H864" s="81"/>
      <c r="I864" s="81"/>
      <c r="J864" s="81"/>
      <c r="K864" s="81"/>
      <c r="L864" s="81"/>
      <c r="M864" s="81"/>
      <c r="N864" s="81"/>
      <c r="O864" s="64"/>
      <c r="P864" s="56"/>
      <c r="Q864" s="57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 spans="1:28" ht="14.4" x14ac:dyDescent="0.3">
      <c r="A865" s="79"/>
      <c r="B865" s="51"/>
      <c r="C865" s="80"/>
      <c r="D865" s="80"/>
      <c r="E865" s="53">
        <f>SUM(F865:N865)</f>
        <v>0</v>
      </c>
      <c r="F865" s="81"/>
      <c r="G865" s="81"/>
      <c r="H865" s="81"/>
      <c r="I865" s="81"/>
      <c r="J865" s="81"/>
      <c r="K865" s="81"/>
      <c r="L865" s="81"/>
      <c r="M865" s="81"/>
      <c r="N865" s="81"/>
      <c r="O865" s="64"/>
      <c r="P865" s="56"/>
      <c r="Q865" s="57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 spans="1:28" ht="14.4" x14ac:dyDescent="0.3">
      <c r="A866" s="79"/>
      <c r="B866" s="51"/>
      <c r="C866" s="80"/>
      <c r="D866" s="80"/>
      <c r="E866" s="53">
        <f>SUM(F866:N866)</f>
        <v>0</v>
      </c>
      <c r="F866" s="81"/>
      <c r="G866" s="81"/>
      <c r="H866" s="81"/>
      <c r="I866" s="81"/>
      <c r="J866" s="81"/>
      <c r="K866" s="81"/>
      <c r="L866" s="81"/>
      <c r="M866" s="81"/>
      <c r="N866" s="81"/>
      <c r="O866" s="64"/>
      <c r="P866" s="56"/>
      <c r="Q866" s="57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 spans="1:28" ht="14.4" x14ac:dyDescent="0.3">
      <c r="A867" s="79"/>
      <c r="B867" s="51"/>
      <c r="C867" s="80"/>
      <c r="D867" s="80"/>
      <c r="E867" s="53">
        <f>SUM(F867:N867)</f>
        <v>0</v>
      </c>
      <c r="F867" s="81"/>
      <c r="G867" s="81"/>
      <c r="H867" s="81"/>
      <c r="I867" s="81"/>
      <c r="J867" s="81"/>
      <c r="K867" s="81"/>
      <c r="L867" s="81"/>
      <c r="M867" s="81"/>
      <c r="N867" s="81"/>
      <c r="O867" s="64"/>
      <c r="P867" s="56"/>
      <c r="Q867" s="57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 spans="1:28" ht="14.4" x14ac:dyDescent="0.3">
      <c r="A868" s="79"/>
      <c r="B868" s="51"/>
      <c r="C868" s="80"/>
      <c r="D868" s="80"/>
      <c r="E868" s="53">
        <f>SUM(F868:N868)</f>
        <v>0</v>
      </c>
      <c r="F868" s="81"/>
      <c r="G868" s="81"/>
      <c r="H868" s="81"/>
      <c r="I868" s="81"/>
      <c r="J868" s="81"/>
      <c r="K868" s="81"/>
      <c r="L868" s="81"/>
      <c r="M868" s="81"/>
      <c r="N868" s="81"/>
      <c r="O868" s="64"/>
      <c r="P868" s="56"/>
      <c r="Q868" s="57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 spans="1:28" ht="14.4" x14ac:dyDescent="0.3">
      <c r="A869" s="79"/>
      <c r="B869" s="51"/>
      <c r="C869" s="80"/>
      <c r="D869" s="80"/>
      <c r="E869" s="53">
        <f>SUM(F869:N869)</f>
        <v>0</v>
      </c>
      <c r="F869" s="81"/>
      <c r="G869" s="81"/>
      <c r="H869" s="81"/>
      <c r="I869" s="81"/>
      <c r="J869" s="81"/>
      <c r="K869" s="81"/>
      <c r="L869" s="81"/>
      <c r="M869" s="81"/>
      <c r="N869" s="81"/>
      <c r="O869" s="64"/>
      <c r="P869" s="56"/>
      <c r="Q869" s="57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 spans="1:28" ht="14.4" x14ac:dyDescent="0.3">
      <c r="A870" s="79"/>
      <c r="B870" s="51"/>
      <c r="C870" s="80"/>
      <c r="D870" s="80"/>
      <c r="E870" s="53">
        <f>SUM(F870:N870)</f>
        <v>0</v>
      </c>
      <c r="F870" s="81"/>
      <c r="G870" s="81"/>
      <c r="H870" s="81"/>
      <c r="I870" s="81"/>
      <c r="J870" s="81"/>
      <c r="K870" s="81"/>
      <c r="L870" s="81"/>
      <c r="M870" s="81"/>
      <c r="N870" s="81"/>
      <c r="O870" s="64"/>
      <c r="P870" s="56"/>
      <c r="Q870" s="57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 spans="1:28" ht="14.4" x14ac:dyDescent="0.3">
      <c r="A871" s="79"/>
      <c r="B871" s="51"/>
      <c r="C871" s="80"/>
      <c r="D871" s="80"/>
      <c r="E871" s="53">
        <f>SUM(F871:N871)</f>
        <v>0</v>
      </c>
      <c r="F871" s="81"/>
      <c r="G871" s="81"/>
      <c r="H871" s="81"/>
      <c r="I871" s="81"/>
      <c r="J871" s="81"/>
      <c r="K871" s="81"/>
      <c r="L871" s="81"/>
      <c r="M871" s="81"/>
      <c r="N871" s="81"/>
      <c r="O871" s="64"/>
      <c r="P871" s="56"/>
      <c r="Q871" s="57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 spans="1:28" ht="14.4" x14ac:dyDescent="0.3">
      <c r="A872" s="79"/>
      <c r="B872" s="51"/>
      <c r="C872" s="80"/>
      <c r="D872" s="80"/>
      <c r="E872" s="53">
        <f>SUM(F872:N872)</f>
        <v>0</v>
      </c>
      <c r="F872" s="81"/>
      <c r="G872" s="81"/>
      <c r="H872" s="81"/>
      <c r="I872" s="81"/>
      <c r="J872" s="81"/>
      <c r="K872" s="81"/>
      <c r="L872" s="81"/>
      <c r="M872" s="81"/>
      <c r="N872" s="81"/>
      <c r="O872" s="64"/>
      <c r="P872" s="56"/>
      <c r="Q872" s="57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 spans="1:28" ht="14.4" x14ac:dyDescent="0.3">
      <c r="A873" s="79"/>
      <c r="B873" s="51"/>
      <c r="C873" s="80"/>
      <c r="D873" s="80"/>
      <c r="E873" s="53">
        <f>SUM(F873:N873)</f>
        <v>0</v>
      </c>
      <c r="F873" s="81"/>
      <c r="G873" s="81"/>
      <c r="H873" s="81"/>
      <c r="I873" s="81"/>
      <c r="J873" s="81"/>
      <c r="K873" s="81"/>
      <c r="L873" s="81"/>
      <c r="M873" s="81"/>
      <c r="N873" s="81"/>
      <c r="O873" s="64"/>
      <c r="P873" s="56"/>
      <c r="Q873" s="57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 spans="1:28" ht="14.4" x14ac:dyDescent="0.3">
      <c r="A874" s="79"/>
      <c r="B874" s="51"/>
      <c r="C874" s="80"/>
      <c r="D874" s="80"/>
      <c r="E874" s="53">
        <f>SUM(F874:N874)</f>
        <v>0</v>
      </c>
      <c r="F874" s="81"/>
      <c r="G874" s="81"/>
      <c r="H874" s="81"/>
      <c r="I874" s="81"/>
      <c r="J874" s="81"/>
      <c r="K874" s="81"/>
      <c r="L874" s="81"/>
      <c r="M874" s="81"/>
      <c r="N874" s="81"/>
      <c r="O874" s="64"/>
      <c r="P874" s="56"/>
      <c r="Q874" s="57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 spans="1:28" ht="14.4" x14ac:dyDescent="0.3">
      <c r="A875" s="79"/>
      <c r="B875" s="51"/>
      <c r="C875" s="80"/>
      <c r="D875" s="80"/>
      <c r="E875" s="53">
        <f>SUM(F875:N875)</f>
        <v>0</v>
      </c>
      <c r="F875" s="81"/>
      <c r="G875" s="81"/>
      <c r="H875" s="81"/>
      <c r="I875" s="81"/>
      <c r="J875" s="81"/>
      <c r="K875" s="81"/>
      <c r="L875" s="81"/>
      <c r="M875" s="81"/>
      <c r="N875" s="81"/>
      <c r="O875" s="64"/>
      <c r="P875" s="56"/>
      <c r="Q875" s="57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 spans="1:28" ht="14.4" x14ac:dyDescent="0.3">
      <c r="A876" s="79"/>
      <c r="B876" s="51"/>
      <c r="C876" s="80"/>
      <c r="D876" s="80"/>
      <c r="E876" s="53">
        <f>SUM(F876:N876)</f>
        <v>0</v>
      </c>
      <c r="F876" s="81"/>
      <c r="G876" s="81"/>
      <c r="H876" s="81"/>
      <c r="I876" s="81"/>
      <c r="J876" s="81"/>
      <c r="K876" s="81"/>
      <c r="L876" s="81"/>
      <c r="M876" s="81"/>
      <c r="N876" s="81"/>
      <c r="O876" s="64"/>
      <c r="P876" s="56"/>
      <c r="Q876" s="57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 spans="1:28" ht="14.4" x14ac:dyDescent="0.3">
      <c r="A877" s="79"/>
      <c r="B877" s="51"/>
      <c r="C877" s="80"/>
      <c r="D877" s="80"/>
      <c r="E877" s="53">
        <f>SUM(F877:N877)</f>
        <v>0</v>
      </c>
      <c r="F877" s="81"/>
      <c r="G877" s="81"/>
      <c r="H877" s="81"/>
      <c r="I877" s="81"/>
      <c r="J877" s="81"/>
      <c r="K877" s="81"/>
      <c r="L877" s="81"/>
      <c r="M877" s="81"/>
      <c r="N877" s="81"/>
      <c r="O877" s="64"/>
      <c r="P877" s="56"/>
      <c r="Q877" s="57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 spans="1:28" ht="14.4" x14ac:dyDescent="0.3">
      <c r="A878" s="79"/>
      <c r="B878" s="51"/>
      <c r="C878" s="80"/>
      <c r="D878" s="80"/>
      <c r="E878" s="53">
        <f>SUM(F878:N878)</f>
        <v>0</v>
      </c>
      <c r="F878" s="81"/>
      <c r="G878" s="81"/>
      <c r="H878" s="81"/>
      <c r="I878" s="81"/>
      <c r="J878" s="81"/>
      <c r="K878" s="81"/>
      <c r="L878" s="81"/>
      <c r="M878" s="81"/>
      <c r="N878" s="81"/>
      <c r="O878" s="64"/>
      <c r="P878" s="56"/>
      <c r="Q878" s="57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 spans="1:28" ht="14.4" x14ac:dyDescent="0.3">
      <c r="A879" s="79"/>
      <c r="B879" s="51"/>
      <c r="C879" s="80"/>
      <c r="D879" s="80"/>
      <c r="E879" s="53">
        <f>SUM(F879:N879)</f>
        <v>0</v>
      </c>
      <c r="F879" s="81"/>
      <c r="G879" s="81"/>
      <c r="H879" s="81"/>
      <c r="I879" s="81"/>
      <c r="J879" s="81"/>
      <c r="K879" s="81"/>
      <c r="L879" s="81"/>
      <c r="M879" s="81"/>
      <c r="N879" s="81"/>
      <c r="O879" s="64"/>
      <c r="P879" s="56"/>
      <c r="Q879" s="57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 spans="1:28" ht="14.4" x14ac:dyDescent="0.3">
      <c r="A880" s="79"/>
      <c r="B880" s="51"/>
      <c r="C880" s="80"/>
      <c r="D880" s="80"/>
      <c r="E880" s="53">
        <f>SUM(F880:N880)</f>
        <v>0</v>
      </c>
      <c r="F880" s="81"/>
      <c r="G880" s="81"/>
      <c r="H880" s="81"/>
      <c r="I880" s="81"/>
      <c r="J880" s="81"/>
      <c r="K880" s="81"/>
      <c r="L880" s="81"/>
      <c r="M880" s="81"/>
      <c r="N880" s="81"/>
      <c r="O880" s="64"/>
      <c r="P880" s="56"/>
      <c r="Q880" s="57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 spans="1:28" ht="14.4" x14ac:dyDescent="0.3">
      <c r="A881" s="79"/>
      <c r="B881" s="51"/>
      <c r="C881" s="80"/>
      <c r="D881" s="80"/>
      <c r="E881" s="53">
        <f>SUM(F881:N881)</f>
        <v>0</v>
      </c>
      <c r="F881" s="81"/>
      <c r="G881" s="81"/>
      <c r="H881" s="81"/>
      <c r="I881" s="81"/>
      <c r="J881" s="81"/>
      <c r="K881" s="81"/>
      <c r="L881" s="81"/>
      <c r="M881" s="81"/>
      <c r="N881" s="81"/>
      <c r="O881" s="64"/>
      <c r="P881" s="56"/>
      <c r="Q881" s="57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 spans="1:28" ht="14.4" x14ac:dyDescent="0.3">
      <c r="A882" s="79"/>
      <c r="B882" s="51"/>
      <c r="C882" s="80"/>
      <c r="D882" s="80"/>
      <c r="E882" s="53">
        <f>SUM(F882:N882)</f>
        <v>0</v>
      </c>
      <c r="F882" s="81"/>
      <c r="G882" s="81"/>
      <c r="H882" s="81"/>
      <c r="I882" s="81"/>
      <c r="J882" s="81"/>
      <c r="K882" s="81"/>
      <c r="L882" s="81"/>
      <c r="M882" s="81"/>
      <c r="N882" s="81"/>
      <c r="O882" s="64"/>
      <c r="P882" s="56"/>
      <c r="Q882" s="57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 spans="1:28" ht="14.4" x14ac:dyDescent="0.3">
      <c r="A883" s="79"/>
      <c r="B883" s="51"/>
      <c r="C883" s="80"/>
      <c r="D883" s="80"/>
      <c r="E883" s="53">
        <f>SUM(F883:N883)</f>
        <v>0</v>
      </c>
      <c r="F883" s="81"/>
      <c r="G883" s="81"/>
      <c r="H883" s="81"/>
      <c r="I883" s="81"/>
      <c r="J883" s="81"/>
      <c r="K883" s="81"/>
      <c r="L883" s="81"/>
      <c r="M883" s="81"/>
      <c r="N883" s="81"/>
      <c r="O883" s="64"/>
      <c r="P883" s="56"/>
      <c r="Q883" s="57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 spans="1:28" ht="14.4" x14ac:dyDescent="0.3">
      <c r="A884" s="79"/>
      <c r="B884" s="51"/>
      <c r="C884" s="80"/>
      <c r="D884" s="80"/>
      <c r="E884" s="53">
        <f>SUM(F884:N884)</f>
        <v>0</v>
      </c>
      <c r="F884" s="81"/>
      <c r="G884" s="81"/>
      <c r="H884" s="81"/>
      <c r="I884" s="81"/>
      <c r="J884" s="81"/>
      <c r="K884" s="81"/>
      <c r="L884" s="81"/>
      <c r="M884" s="81"/>
      <c r="N884" s="81"/>
      <c r="O884" s="64"/>
      <c r="P884" s="56"/>
      <c r="Q884" s="57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 spans="1:28" ht="14.4" x14ac:dyDescent="0.3">
      <c r="A885" s="79"/>
      <c r="B885" s="51"/>
      <c r="C885" s="80"/>
      <c r="D885" s="80"/>
      <c r="E885" s="53">
        <f>SUM(F885:N885)</f>
        <v>0</v>
      </c>
      <c r="F885" s="81"/>
      <c r="G885" s="81"/>
      <c r="H885" s="81"/>
      <c r="I885" s="81"/>
      <c r="J885" s="81"/>
      <c r="K885" s="81"/>
      <c r="L885" s="81"/>
      <c r="M885" s="81"/>
      <c r="N885" s="81"/>
      <c r="O885" s="64"/>
      <c r="P885" s="56"/>
      <c r="Q885" s="57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 spans="1:28" ht="14.4" x14ac:dyDescent="0.3">
      <c r="A886" s="79"/>
      <c r="B886" s="51"/>
      <c r="C886" s="80"/>
      <c r="D886" s="80"/>
      <c r="E886" s="53">
        <f>SUM(F886:N886)</f>
        <v>0</v>
      </c>
      <c r="F886" s="81"/>
      <c r="G886" s="81"/>
      <c r="H886" s="81"/>
      <c r="I886" s="81"/>
      <c r="J886" s="81"/>
      <c r="K886" s="81"/>
      <c r="L886" s="81"/>
      <c r="M886" s="81"/>
      <c r="N886" s="81"/>
      <c r="O886" s="64"/>
      <c r="P886" s="56"/>
      <c r="Q886" s="57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 spans="1:28" ht="14.4" x14ac:dyDescent="0.3">
      <c r="A887" s="79"/>
      <c r="B887" s="51"/>
      <c r="C887" s="80"/>
      <c r="D887" s="80"/>
      <c r="E887" s="53">
        <f>SUM(F887:N887)</f>
        <v>0</v>
      </c>
      <c r="F887" s="81"/>
      <c r="G887" s="81"/>
      <c r="H887" s="81"/>
      <c r="I887" s="81"/>
      <c r="J887" s="81"/>
      <c r="K887" s="81"/>
      <c r="L887" s="81"/>
      <c r="M887" s="81"/>
      <c r="N887" s="81"/>
      <c r="O887" s="64"/>
      <c r="P887" s="56"/>
      <c r="Q887" s="57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 spans="1:28" ht="14.4" x14ac:dyDescent="0.3">
      <c r="A888" s="79"/>
      <c r="B888" s="51"/>
      <c r="C888" s="80"/>
      <c r="D888" s="80"/>
      <c r="E888" s="53">
        <f>SUM(F888:N888)</f>
        <v>0</v>
      </c>
      <c r="F888" s="81"/>
      <c r="G888" s="81"/>
      <c r="H888" s="81"/>
      <c r="I888" s="81"/>
      <c r="J888" s="81"/>
      <c r="K888" s="81"/>
      <c r="L888" s="81"/>
      <c r="M888" s="81"/>
      <c r="N888" s="81"/>
      <c r="O888" s="64"/>
      <c r="P888" s="56"/>
      <c r="Q888" s="57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 spans="1:28" ht="14.4" x14ac:dyDescent="0.3">
      <c r="A889" s="79"/>
      <c r="B889" s="51"/>
      <c r="C889" s="80"/>
      <c r="D889" s="80"/>
      <c r="E889" s="53">
        <f>SUM(F889:N889)</f>
        <v>0</v>
      </c>
      <c r="F889" s="81"/>
      <c r="G889" s="81"/>
      <c r="H889" s="81"/>
      <c r="I889" s="81"/>
      <c r="J889" s="81"/>
      <c r="K889" s="81"/>
      <c r="L889" s="81"/>
      <c r="M889" s="81"/>
      <c r="N889" s="81"/>
      <c r="O889" s="64"/>
      <c r="P889" s="56"/>
      <c r="Q889" s="57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 spans="1:28" ht="14.4" x14ac:dyDescent="0.3">
      <c r="A890" s="79"/>
      <c r="B890" s="51"/>
      <c r="C890" s="80"/>
      <c r="D890" s="80"/>
      <c r="E890" s="53">
        <f>SUM(F890:N890)</f>
        <v>0</v>
      </c>
      <c r="F890" s="81"/>
      <c r="G890" s="81"/>
      <c r="H890" s="81"/>
      <c r="I890" s="81"/>
      <c r="J890" s="81"/>
      <c r="K890" s="81"/>
      <c r="L890" s="81"/>
      <c r="M890" s="81"/>
      <c r="N890" s="81"/>
      <c r="O890" s="64"/>
      <c r="P890" s="56"/>
      <c r="Q890" s="57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 spans="1:28" ht="14.4" x14ac:dyDescent="0.3">
      <c r="A891" s="79"/>
      <c r="B891" s="51"/>
      <c r="C891" s="80"/>
      <c r="D891" s="80"/>
      <c r="E891" s="53">
        <f>SUM(F891:N891)</f>
        <v>0</v>
      </c>
      <c r="F891" s="81"/>
      <c r="G891" s="81"/>
      <c r="H891" s="81"/>
      <c r="I891" s="81"/>
      <c r="J891" s="81"/>
      <c r="K891" s="81"/>
      <c r="L891" s="81"/>
      <c r="M891" s="81"/>
      <c r="N891" s="81"/>
      <c r="O891" s="64"/>
      <c r="P891" s="56"/>
      <c r="Q891" s="57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 spans="1:28" ht="14.4" x14ac:dyDescent="0.3">
      <c r="A892" s="79"/>
      <c r="B892" s="51"/>
      <c r="C892" s="80"/>
      <c r="D892" s="80"/>
      <c r="E892" s="53">
        <f>SUM(F892:N892)</f>
        <v>0</v>
      </c>
      <c r="F892" s="81"/>
      <c r="G892" s="81"/>
      <c r="H892" s="81"/>
      <c r="I892" s="81"/>
      <c r="J892" s="81"/>
      <c r="K892" s="81"/>
      <c r="L892" s="81"/>
      <c r="M892" s="81"/>
      <c r="N892" s="81"/>
      <c r="O892" s="64"/>
      <c r="P892" s="56"/>
      <c r="Q892" s="57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 spans="1:28" ht="14.4" x14ac:dyDescent="0.3">
      <c r="A893" s="79"/>
      <c r="B893" s="51"/>
      <c r="C893" s="80"/>
      <c r="D893" s="80"/>
      <c r="E893" s="53">
        <f>SUM(F893:N893)</f>
        <v>0</v>
      </c>
      <c r="F893" s="81"/>
      <c r="G893" s="81"/>
      <c r="H893" s="81"/>
      <c r="I893" s="81"/>
      <c r="J893" s="81"/>
      <c r="K893" s="81"/>
      <c r="L893" s="81"/>
      <c r="M893" s="81"/>
      <c r="N893" s="81"/>
      <c r="O893" s="64"/>
      <c r="P893" s="56"/>
      <c r="Q893" s="57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 spans="1:28" ht="14.4" x14ac:dyDescent="0.3">
      <c r="A894" s="79"/>
      <c r="B894" s="51"/>
      <c r="C894" s="80"/>
      <c r="D894" s="80"/>
      <c r="E894" s="53">
        <f>SUM(F894:N894)</f>
        <v>0</v>
      </c>
      <c r="F894" s="81"/>
      <c r="G894" s="81"/>
      <c r="H894" s="81"/>
      <c r="I894" s="81"/>
      <c r="J894" s="81"/>
      <c r="K894" s="81"/>
      <c r="L894" s="81"/>
      <c r="M894" s="81"/>
      <c r="N894" s="81"/>
      <c r="O894" s="64"/>
      <c r="P894" s="56"/>
      <c r="Q894" s="57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 spans="1:28" ht="14.4" x14ac:dyDescent="0.3">
      <c r="A895" s="79"/>
      <c r="B895" s="51"/>
      <c r="C895" s="80"/>
      <c r="D895" s="80"/>
      <c r="E895" s="53">
        <f>SUM(F895:N895)</f>
        <v>0</v>
      </c>
      <c r="F895" s="81"/>
      <c r="G895" s="81"/>
      <c r="H895" s="81"/>
      <c r="I895" s="81"/>
      <c r="J895" s="81"/>
      <c r="K895" s="81"/>
      <c r="L895" s="81"/>
      <c r="M895" s="81"/>
      <c r="N895" s="81"/>
      <c r="O895" s="64"/>
      <c r="P895" s="56"/>
      <c r="Q895" s="57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 spans="1:28" ht="14.4" x14ac:dyDescent="0.3">
      <c r="A896" s="79"/>
      <c r="B896" s="51"/>
      <c r="C896" s="80"/>
      <c r="D896" s="80"/>
      <c r="E896" s="53">
        <f>SUM(F896:N896)</f>
        <v>0</v>
      </c>
      <c r="F896" s="81"/>
      <c r="G896" s="81"/>
      <c r="H896" s="81"/>
      <c r="I896" s="81"/>
      <c r="J896" s="81"/>
      <c r="K896" s="81"/>
      <c r="L896" s="81"/>
      <c r="M896" s="81"/>
      <c r="N896" s="81"/>
      <c r="O896" s="64"/>
      <c r="P896" s="56"/>
      <c r="Q896" s="57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 spans="1:28" ht="14.4" x14ac:dyDescent="0.3">
      <c r="A897" s="79"/>
      <c r="B897" s="51"/>
      <c r="C897" s="80"/>
      <c r="D897" s="80"/>
      <c r="E897" s="53">
        <f>SUM(F897:N897)</f>
        <v>0</v>
      </c>
      <c r="F897" s="81"/>
      <c r="G897" s="81"/>
      <c r="H897" s="81"/>
      <c r="I897" s="81"/>
      <c r="J897" s="81"/>
      <c r="K897" s="81"/>
      <c r="L897" s="81"/>
      <c r="M897" s="81"/>
      <c r="N897" s="81"/>
      <c r="O897" s="64"/>
      <c r="P897" s="56"/>
      <c r="Q897" s="57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 spans="1:28" ht="14.4" x14ac:dyDescent="0.3">
      <c r="A898" s="79"/>
      <c r="B898" s="51"/>
      <c r="C898" s="80"/>
      <c r="D898" s="80"/>
      <c r="E898" s="53">
        <f>SUM(F898:N898)</f>
        <v>0</v>
      </c>
      <c r="F898" s="81"/>
      <c r="G898" s="81"/>
      <c r="H898" s="81"/>
      <c r="I898" s="81"/>
      <c r="J898" s="81"/>
      <c r="K898" s="81"/>
      <c r="L898" s="81"/>
      <c r="M898" s="81"/>
      <c r="N898" s="81"/>
      <c r="O898" s="64"/>
      <c r="P898" s="56"/>
      <c r="Q898" s="57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 spans="1:28" ht="14.4" x14ac:dyDescent="0.3">
      <c r="A899" s="79"/>
      <c r="B899" s="51"/>
      <c r="C899" s="80"/>
      <c r="D899" s="80"/>
      <c r="E899" s="53">
        <f>SUM(F899:N899)</f>
        <v>0</v>
      </c>
      <c r="F899" s="81"/>
      <c r="G899" s="81"/>
      <c r="H899" s="81"/>
      <c r="I899" s="81"/>
      <c r="J899" s="81"/>
      <c r="K899" s="81"/>
      <c r="L899" s="81"/>
      <c r="M899" s="81"/>
      <c r="N899" s="81"/>
      <c r="O899" s="64"/>
      <c r="P899" s="56"/>
      <c r="Q899" s="57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 spans="1:28" ht="14.4" x14ac:dyDescent="0.3">
      <c r="A900" s="79"/>
      <c r="B900" s="51"/>
      <c r="C900" s="80"/>
      <c r="D900" s="80"/>
      <c r="E900" s="53">
        <f>SUM(F900:N900)</f>
        <v>0</v>
      </c>
      <c r="F900" s="81"/>
      <c r="G900" s="81"/>
      <c r="H900" s="81"/>
      <c r="I900" s="81"/>
      <c r="J900" s="81"/>
      <c r="K900" s="81"/>
      <c r="L900" s="81"/>
      <c r="M900" s="81"/>
      <c r="N900" s="81"/>
      <c r="O900" s="64"/>
      <c r="P900" s="56"/>
      <c r="Q900" s="57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 spans="1:28" ht="14.4" x14ac:dyDescent="0.3">
      <c r="A901" s="79"/>
      <c r="B901" s="51"/>
      <c r="C901" s="80"/>
      <c r="D901" s="80"/>
      <c r="E901" s="53">
        <f>SUM(F901:N901)</f>
        <v>0</v>
      </c>
      <c r="F901" s="81"/>
      <c r="G901" s="81"/>
      <c r="H901" s="81"/>
      <c r="I901" s="81"/>
      <c r="J901" s="81"/>
      <c r="K901" s="81"/>
      <c r="L901" s="81"/>
      <c r="M901" s="81"/>
      <c r="N901" s="81"/>
      <c r="O901" s="64"/>
      <c r="P901" s="56"/>
      <c r="Q901" s="57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 spans="1:28" ht="14.4" x14ac:dyDescent="0.3">
      <c r="A902" s="79"/>
      <c r="B902" s="51"/>
      <c r="C902" s="80"/>
      <c r="D902" s="80"/>
      <c r="E902" s="53">
        <f>SUM(F902:N902)</f>
        <v>0</v>
      </c>
      <c r="F902" s="81"/>
      <c r="G902" s="81"/>
      <c r="H902" s="81"/>
      <c r="I902" s="81"/>
      <c r="J902" s="81"/>
      <c r="K902" s="81"/>
      <c r="L902" s="81"/>
      <c r="M902" s="81"/>
      <c r="N902" s="81"/>
      <c r="O902" s="64"/>
      <c r="P902" s="56"/>
      <c r="Q902" s="57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 spans="1:28" ht="14.4" x14ac:dyDescent="0.3">
      <c r="A903" s="79"/>
      <c r="B903" s="51"/>
      <c r="C903" s="80"/>
      <c r="D903" s="80"/>
      <c r="E903" s="53">
        <f>SUM(F903:N903)</f>
        <v>0</v>
      </c>
      <c r="F903" s="81"/>
      <c r="G903" s="81"/>
      <c r="H903" s="81"/>
      <c r="I903" s="81"/>
      <c r="J903" s="81"/>
      <c r="K903" s="81"/>
      <c r="L903" s="81"/>
      <c r="M903" s="81"/>
      <c r="N903" s="81"/>
      <c r="O903" s="64"/>
      <c r="P903" s="56"/>
      <c r="Q903" s="57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 spans="1:28" ht="14.4" x14ac:dyDescent="0.3">
      <c r="A904" s="79"/>
      <c r="B904" s="51"/>
      <c r="C904" s="80"/>
      <c r="D904" s="80"/>
      <c r="E904" s="53">
        <f>SUM(F904:N904)</f>
        <v>0</v>
      </c>
      <c r="F904" s="81"/>
      <c r="G904" s="81"/>
      <c r="H904" s="81"/>
      <c r="I904" s="81"/>
      <c r="J904" s="81"/>
      <c r="K904" s="81"/>
      <c r="L904" s="81"/>
      <c r="M904" s="81"/>
      <c r="N904" s="81"/>
      <c r="O904" s="64"/>
      <c r="P904" s="56"/>
      <c r="Q904" s="57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 spans="1:28" ht="14.4" x14ac:dyDescent="0.3">
      <c r="A905" s="79"/>
      <c r="B905" s="51"/>
      <c r="C905" s="80"/>
      <c r="D905" s="80"/>
      <c r="E905" s="53">
        <f>SUM(F905:N905)</f>
        <v>0</v>
      </c>
      <c r="F905" s="81"/>
      <c r="G905" s="81"/>
      <c r="H905" s="81"/>
      <c r="I905" s="81"/>
      <c r="J905" s="81"/>
      <c r="K905" s="81"/>
      <c r="L905" s="81"/>
      <c r="M905" s="81"/>
      <c r="N905" s="81"/>
      <c r="O905" s="64"/>
      <c r="P905" s="56"/>
      <c r="Q905" s="57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 spans="1:28" ht="14.4" x14ac:dyDescent="0.3">
      <c r="A906" s="79"/>
      <c r="B906" s="51"/>
      <c r="C906" s="80"/>
      <c r="D906" s="80"/>
      <c r="E906" s="53">
        <f>SUM(F906:N906)</f>
        <v>0</v>
      </c>
      <c r="F906" s="81"/>
      <c r="G906" s="81"/>
      <c r="H906" s="81"/>
      <c r="I906" s="81"/>
      <c r="J906" s="81"/>
      <c r="K906" s="81"/>
      <c r="L906" s="81"/>
      <c r="M906" s="81"/>
      <c r="N906" s="81"/>
      <c r="O906" s="64"/>
      <c r="P906" s="56"/>
      <c r="Q906" s="57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 spans="1:28" ht="14.4" x14ac:dyDescent="0.3">
      <c r="A907" s="79"/>
      <c r="B907" s="51"/>
      <c r="C907" s="80"/>
      <c r="D907" s="80"/>
      <c r="E907" s="53">
        <f>SUM(F907:N907)</f>
        <v>0</v>
      </c>
      <c r="F907" s="81"/>
      <c r="G907" s="81"/>
      <c r="H907" s="81"/>
      <c r="I907" s="81"/>
      <c r="J907" s="81"/>
      <c r="K907" s="81"/>
      <c r="L907" s="81"/>
      <c r="M907" s="81"/>
      <c r="N907" s="81"/>
      <c r="O907" s="64"/>
      <c r="P907" s="56"/>
      <c r="Q907" s="57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 spans="1:28" ht="14.4" x14ac:dyDescent="0.3">
      <c r="A908" s="79"/>
      <c r="B908" s="51"/>
      <c r="C908" s="80"/>
      <c r="D908" s="80"/>
      <c r="E908" s="53">
        <f>SUM(F908:N908)</f>
        <v>0</v>
      </c>
      <c r="F908" s="81"/>
      <c r="G908" s="81"/>
      <c r="H908" s="81"/>
      <c r="I908" s="81"/>
      <c r="J908" s="81"/>
      <c r="K908" s="81"/>
      <c r="L908" s="81"/>
      <c r="M908" s="81"/>
      <c r="N908" s="81"/>
      <c r="O908" s="64"/>
      <c r="P908" s="56"/>
      <c r="Q908" s="57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 spans="1:28" ht="14.4" x14ac:dyDescent="0.3">
      <c r="A909" s="79"/>
      <c r="B909" s="51"/>
      <c r="C909" s="80"/>
      <c r="D909" s="80"/>
      <c r="E909" s="53">
        <f>SUM(F909:N909)</f>
        <v>0</v>
      </c>
      <c r="F909" s="81"/>
      <c r="G909" s="81"/>
      <c r="H909" s="81"/>
      <c r="I909" s="81"/>
      <c r="J909" s="81"/>
      <c r="K909" s="81"/>
      <c r="L909" s="81"/>
      <c r="M909" s="81"/>
      <c r="N909" s="81"/>
      <c r="O909" s="64"/>
      <c r="P909" s="56"/>
      <c r="Q909" s="57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 spans="1:28" ht="14.4" x14ac:dyDescent="0.3">
      <c r="A910" s="79"/>
      <c r="B910" s="51"/>
      <c r="C910" s="80"/>
      <c r="D910" s="80"/>
      <c r="E910" s="53">
        <f>SUM(F910:N910)</f>
        <v>0</v>
      </c>
      <c r="F910" s="81"/>
      <c r="G910" s="81"/>
      <c r="H910" s="81"/>
      <c r="I910" s="81"/>
      <c r="J910" s="81"/>
      <c r="K910" s="81"/>
      <c r="L910" s="81"/>
      <c r="M910" s="81"/>
      <c r="N910" s="81"/>
      <c r="O910" s="64"/>
      <c r="P910" s="56"/>
      <c r="Q910" s="57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 spans="1:28" ht="14.4" x14ac:dyDescent="0.3">
      <c r="A911" s="79"/>
      <c r="B911" s="51"/>
      <c r="C911" s="80"/>
      <c r="D911" s="80"/>
      <c r="E911" s="53">
        <f>SUM(F911:N911)</f>
        <v>0</v>
      </c>
      <c r="F911" s="81"/>
      <c r="G911" s="81"/>
      <c r="H911" s="81"/>
      <c r="I911" s="81"/>
      <c r="J911" s="81"/>
      <c r="K911" s="81"/>
      <c r="L911" s="81"/>
      <c r="M911" s="81"/>
      <c r="N911" s="81"/>
      <c r="O911" s="64"/>
      <c r="P911" s="56"/>
      <c r="Q911" s="57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 spans="1:28" ht="14.4" x14ac:dyDescent="0.3">
      <c r="A912" s="79"/>
      <c r="B912" s="51"/>
      <c r="C912" s="80"/>
      <c r="D912" s="80"/>
      <c r="E912" s="53">
        <f>SUM(F912:N912)</f>
        <v>0</v>
      </c>
      <c r="F912" s="81"/>
      <c r="G912" s="81"/>
      <c r="H912" s="81"/>
      <c r="I912" s="81"/>
      <c r="J912" s="81"/>
      <c r="K912" s="81"/>
      <c r="L912" s="81"/>
      <c r="M912" s="81"/>
      <c r="N912" s="81"/>
      <c r="O912" s="64"/>
      <c r="P912" s="56"/>
      <c r="Q912" s="57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 spans="1:28" ht="14.4" x14ac:dyDescent="0.3">
      <c r="A913" s="79"/>
      <c r="B913" s="51"/>
      <c r="C913" s="80"/>
      <c r="D913" s="80"/>
      <c r="E913" s="53">
        <f>SUM(F913:N913)</f>
        <v>0</v>
      </c>
      <c r="F913" s="81"/>
      <c r="G913" s="81"/>
      <c r="H913" s="81"/>
      <c r="I913" s="81"/>
      <c r="J913" s="81"/>
      <c r="K913" s="81"/>
      <c r="L913" s="81"/>
      <c r="M913" s="81"/>
      <c r="N913" s="81"/>
      <c r="O913" s="64"/>
      <c r="P913" s="56"/>
      <c r="Q913" s="57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 spans="1:28" ht="14.4" x14ac:dyDescent="0.3">
      <c r="A914" s="79"/>
      <c r="B914" s="51"/>
      <c r="C914" s="80"/>
      <c r="D914" s="80"/>
      <c r="E914" s="53">
        <f>SUM(F914:N914)</f>
        <v>0</v>
      </c>
      <c r="F914" s="81"/>
      <c r="G914" s="81"/>
      <c r="H914" s="81"/>
      <c r="I914" s="81"/>
      <c r="J914" s="81"/>
      <c r="K914" s="81"/>
      <c r="L914" s="81"/>
      <c r="M914" s="81"/>
      <c r="N914" s="81"/>
      <c r="O914" s="64"/>
      <c r="P914" s="56"/>
      <c r="Q914" s="57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 spans="1:28" ht="14.4" x14ac:dyDescent="0.3">
      <c r="A915" s="79"/>
      <c r="B915" s="51"/>
      <c r="C915" s="80"/>
      <c r="D915" s="80"/>
      <c r="E915" s="53">
        <f>SUM(F915:N915)</f>
        <v>0</v>
      </c>
      <c r="F915" s="81"/>
      <c r="G915" s="81"/>
      <c r="H915" s="81"/>
      <c r="I915" s="81"/>
      <c r="J915" s="81"/>
      <c r="K915" s="81"/>
      <c r="L915" s="81"/>
      <c r="M915" s="81"/>
      <c r="N915" s="81"/>
      <c r="O915" s="64"/>
      <c r="P915" s="56"/>
      <c r="Q915" s="57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 spans="1:28" ht="14.4" x14ac:dyDescent="0.3">
      <c r="A916" s="79"/>
      <c r="B916" s="51"/>
      <c r="C916" s="80"/>
      <c r="D916" s="80"/>
      <c r="E916" s="53">
        <f>SUM(F916:N916)</f>
        <v>0</v>
      </c>
      <c r="F916" s="81"/>
      <c r="G916" s="81"/>
      <c r="H916" s="81"/>
      <c r="I916" s="81"/>
      <c r="J916" s="81"/>
      <c r="K916" s="81"/>
      <c r="L916" s="81"/>
      <c r="M916" s="81"/>
      <c r="N916" s="81"/>
      <c r="O916" s="64"/>
      <c r="P916" s="56"/>
      <c r="Q916" s="57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 spans="1:28" ht="14.4" x14ac:dyDescent="0.3">
      <c r="A917" s="79"/>
      <c r="B917" s="51"/>
      <c r="C917" s="80"/>
      <c r="D917" s="80"/>
      <c r="E917" s="53">
        <f>SUM(F917:N917)</f>
        <v>0</v>
      </c>
      <c r="F917" s="81"/>
      <c r="G917" s="81"/>
      <c r="H917" s="81"/>
      <c r="I917" s="81"/>
      <c r="J917" s="81"/>
      <c r="K917" s="81"/>
      <c r="L917" s="81"/>
      <c r="M917" s="81"/>
      <c r="N917" s="81"/>
      <c r="O917" s="64"/>
      <c r="P917" s="56"/>
      <c r="Q917" s="57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 spans="1:28" ht="14.4" x14ac:dyDescent="0.3">
      <c r="A918" s="79"/>
      <c r="B918" s="51"/>
      <c r="C918" s="80"/>
      <c r="D918" s="80"/>
      <c r="E918" s="53">
        <f>SUM(F918:N918)</f>
        <v>0</v>
      </c>
      <c r="F918" s="81"/>
      <c r="G918" s="81"/>
      <c r="H918" s="81"/>
      <c r="I918" s="81"/>
      <c r="J918" s="81"/>
      <c r="K918" s="81"/>
      <c r="L918" s="81"/>
      <c r="M918" s="81"/>
      <c r="N918" s="81"/>
      <c r="O918" s="64"/>
      <c r="P918" s="56"/>
      <c r="Q918" s="57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 spans="1:28" ht="14.4" x14ac:dyDescent="0.3">
      <c r="A919" s="79"/>
      <c r="B919" s="51"/>
      <c r="C919" s="80"/>
      <c r="D919" s="80"/>
      <c r="E919" s="53">
        <f>SUM(F919:N919)</f>
        <v>0</v>
      </c>
      <c r="F919" s="81"/>
      <c r="G919" s="81"/>
      <c r="H919" s="81"/>
      <c r="I919" s="81"/>
      <c r="J919" s="81"/>
      <c r="K919" s="81"/>
      <c r="L919" s="81"/>
      <c r="M919" s="81"/>
      <c r="N919" s="81"/>
      <c r="O919" s="64"/>
      <c r="P919" s="56"/>
      <c r="Q919" s="57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 spans="1:28" ht="14.4" x14ac:dyDescent="0.3">
      <c r="A920" s="79"/>
      <c r="B920" s="51"/>
      <c r="C920" s="80"/>
      <c r="D920" s="80"/>
      <c r="E920" s="53">
        <f>SUM(F920:N920)</f>
        <v>0</v>
      </c>
      <c r="F920" s="81"/>
      <c r="G920" s="81"/>
      <c r="H920" s="81"/>
      <c r="I920" s="81"/>
      <c r="J920" s="81"/>
      <c r="K920" s="81"/>
      <c r="L920" s="81"/>
      <c r="M920" s="81"/>
      <c r="N920" s="81"/>
      <c r="O920" s="64"/>
      <c r="P920" s="56"/>
      <c r="Q920" s="57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 spans="1:28" ht="14.4" x14ac:dyDescent="0.3">
      <c r="A921" s="79"/>
      <c r="B921" s="51"/>
      <c r="C921" s="80"/>
      <c r="D921" s="80"/>
      <c r="E921" s="53">
        <f>SUM(F921:N921)</f>
        <v>0</v>
      </c>
      <c r="F921" s="81"/>
      <c r="G921" s="81"/>
      <c r="H921" s="81"/>
      <c r="I921" s="81"/>
      <c r="J921" s="81"/>
      <c r="K921" s="81"/>
      <c r="L921" s="81"/>
      <c r="M921" s="81"/>
      <c r="N921" s="81"/>
      <c r="O921" s="64"/>
      <c r="P921" s="56"/>
      <c r="Q921" s="57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 spans="1:28" ht="14.4" x14ac:dyDescent="0.3">
      <c r="A922" s="79"/>
      <c r="B922" s="51"/>
      <c r="C922" s="80"/>
      <c r="D922" s="80"/>
      <c r="E922" s="53">
        <f>SUM(F922:N922)</f>
        <v>0</v>
      </c>
      <c r="F922" s="81"/>
      <c r="G922" s="81"/>
      <c r="H922" s="81"/>
      <c r="I922" s="81"/>
      <c r="J922" s="81"/>
      <c r="K922" s="81"/>
      <c r="L922" s="81"/>
      <c r="M922" s="81"/>
      <c r="N922" s="81"/>
      <c r="O922" s="64"/>
      <c r="P922" s="56"/>
      <c r="Q922" s="57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 spans="1:28" ht="14.4" x14ac:dyDescent="0.3">
      <c r="A923" s="79"/>
      <c r="B923" s="51"/>
      <c r="C923" s="80"/>
      <c r="D923" s="80"/>
      <c r="E923" s="53">
        <f>SUM(F923:N923)</f>
        <v>0</v>
      </c>
      <c r="F923" s="81"/>
      <c r="G923" s="81"/>
      <c r="H923" s="81"/>
      <c r="I923" s="81"/>
      <c r="J923" s="81"/>
      <c r="K923" s="81"/>
      <c r="L923" s="81"/>
      <c r="M923" s="81"/>
      <c r="N923" s="81"/>
      <c r="O923" s="64"/>
      <c r="P923" s="56"/>
      <c r="Q923" s="57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 spans="1:28" ht="14.4" x14ac:dyDescent="0.3">
      <c r="A924" s="79"/>
      <c r="B924" s="51"/>
      <c r="C924" s="80"/>
      <c r="D924" s="80"/>
      <c r="E924" s="53">
        <f>SUM(F924:N924)</f>
        <v>0</v>
      </c>
      <c r="F924" s="81"/>
      <c r="G924" s="81"/>
      <c r="H924" s="81"/>
      <c r="I924" s="81"/>
      <c r="J924" s="81"/>
      <c r="K924" s="81"/>
      <c r="L924" s="81"/>
      <c r="M924" s="81"/>
      <c r="N924" s="81"/>
      <c r="O924" s="64"/>
      <c r="P924" s="56"/>
      <c r="Q924" s="57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 spans="1:28" ht="14.4" x14ac:dyDescent="0.3">
      <c r="A925" s="79"/>
      <c r="B925" s="51"/>
      <c r="C925" s="80"/>
      <c r="D925" s="80"/>
      <c r="E925" s="53">
        <f>SUM(F925:N925)</f>
        <v>0</v>
      </c>
      <c r="F925" s="81"/>
      <c r="G925" s="81"/>
      <c r="H925" s="81"/>
      <c r="I925" s="81"/>
      <c r="J925" s="81"/>
      <c r="K925" s="81"/>
      <c r="L925" s="81"/>
      <c r="M925" s="81"/>
      <c r="N925" s="81"/>
      <c r="O925" s="64"/>
      <c r="P925" s="56"/>
      <c r="Q925" s="57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 spans="1:28" ht="14.4" x14ac:dyDescent="0.3">
      <c r="A926" s="79"/>
      <c r="B926" s="51"/>
      <c r="C926" s="80"/>
      <c r="D926" s="80"/>
      <c r="E926" s="53">
        <f>SUM(F926:N926)</f>
        <v>0</v>
      </c>
      <c r="F926" s="81"/>
      <c r="G926" s="81"/>
      <c r="H926" s="81"/>
      <c r="I926" s="81"/>
      <c r="J926" s="81"/>
      <c r="K926" s="81"/>
      <c r="L926" s="81"/>
      <c r="M926" s="81"/>
      <c r="N926" s="81"/>
      <c r="O926" s="64"/>
      <c r="P926" s="56"/>
      <c r="Q926" s="57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 spans="1:28" ht="14.4" x14ac:dyDescent="0.3">
      <c r="A927" s="79"/>
      <c r="B927" s="51"/>
      <c r="C927" s="80"/>
      <c r="D927" s="80"/>
      <c r="E927" s="53">
        <f>SUM(F927:N927)</f>
        <v>0</v>
      </c>
      <c r="F927" s="81"/>
      <c r="G927" s="81"/>
      <c r="H927" s="81"/>
      <c r="I927" s="81"/>
      <c r="J927" s="81"/>
      <c r="K927" s="81"/>
      <c r="L927" s="81"/>
      <c r="M927" s="81"/>
      <c r="N927" s="81"/>
      <c r="O927" s="64"/>
      <c r="P927" s="56"/>
      <c r="Q927" s="57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 spans="1:28" ht="14.4" x14ac:dyDescent="0.3">
      <c r="A928" s="79"/>
      <c r="B928" s="51"/>
      <c r="C928" s="80"/>
      <c r="D928" s="80"/>
      <c r="E928" s="53">
        <f>SUM(F928:N928)</f>
        <v>0</v>
      </c>
      <c r="F928" s="81"/>
      <c r="G928" s="81"/>
      <c r="H928" s="81"/>
      <c r="I928" s="81"/>
      <c r="J928" s="81"/>
      <c r="K928" s="81"/>
      <c r="L928" s="81"/>
      <c r="M928" s="81"/>
      <c r="N928" s="81"/>
      <c r="O928" s="64"/>
      <c r="P928" s="56"/>
      <c r="Q928" s="57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 spans="1:28" ht="14.4" x14ac:dyDescent="0.3">
      <c r="A929" s="79"/>
      <c r="B929" s="51"/>
      <c r="C929" s="80"/>
      <c r="D929" s="80"/>
      <c r="E929" s="53">
        <f>SUM(F929:N929)</f>
        <v>0</v>
      </c>
      <c r="F929" s="81"/>
      <c r="G929" s="81"/>
      <c r="H929" s="81"/>
      <c r="I929" s="81"/>
      <c r="J929" s="81"/>
      <c r="K929" s="81"/>
      <c r="L929" s="81"/>
      <c r="M929" s="81"/>
      <c r="N929" s="81"/>
      <c r="O929" s="64"/>
      <c r="P929" s="56"/>
      <c r="Q929" s="57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 spans="1:28" ht="14.4" x14ac:dyDescent="0.3">
      <c r="A930" s="79"/>
      <c r="B930" s="51"/>
      <c r="C930" s="80"/>
      <c r="D930" s="80"/>
      <c r="E930" s="53">
        <f>SUM(F930:N930)</f>
        <v>0</v>
      </c>
      <c r="F930" s="81"/>
      <c r="G930" s="81"/>
      <c r="H930" s="81"/>
      <c r="I930" s="81"/>
      <c r="J930" s="81"/>
      <c r="K930" s="81"/>
      <c r="L930" s="81"/>
      <c r="M930" s="81"/>
      <c r="N930" s="81"/>
      <c r="O930" s="64"/>
      <c r="P930" s="56"/>
      <c r="Q930" s="57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 spans="1:28" ht="14.4" x14ac:dyDescent="0.3">
      <c r="A931" s="79"/>
      <c r="B931" s="51"/>
      <c r="C931" s="80"/>
      <c r="D931" s="80"/>
      <c r="E931" s="53">
        <f>SUM(F931:N931)</f>
        <v>0</v>
      </c>
      <c r="F931" s="81"/>
      <c r="G931" s="81"/>
      <c r="H931" s="81"/>
      <c r="I931" s="81"/>
      <c r="J931" s="81"/>
      <c r="K931" s="81"/>
      <c r="L931" s="81"/>
      <c r="M931" s="81"/>
      <c r="N931" s="81"/>
      <c r="O931" s="64"/>
      <c r="P931" s="56"/>
      <c r="Q931" s="57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 spans="1:28" ht="14.4" x14ac:dyDescent="0.3">
      <c r="A932" s="79"/>
      <c r="B932" s="51"/>
      <c r="C932" s="80"/>
      <c r="D932" s="80"/>
      <c r="E932" s="53">
        <f>SUM(F932:N932)</f>
        <v>0</v>
      </c>
      <c r="F932" s="81"/>
      <c r="G932" s="81"/>
      <c r="H932" s="81"/>
      <c r="I932" s="81"/>
      <c r="J932" s="81"/>
      <c r="K932" s="81"/>
      <c r="L932" s="81"/>
      <c r="M932" s="81"/>
      <c r="N932" s="81"/>
      <c r="O932" s="64"/>
      <c r="P932" s="56"/>
      <c r="Q932" s="57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 spans="1:28" ht="14.4" x14ac:dyDescent="0.3">
      <c r="A933" s="79"/>
      <c r="B933" s="51"/>
      <c r="C933" s="80"/>
      <c r="D933" s="80"/>
      <c r="E933" s="53">
        <f>SUM(F933:N933)</f>
        <v>0</v>
      </c>
      <c r="F933" s="81"/>
      <c r="G933" s="81"/>
      <c r="H933" s="81"/>
      <c r="I933" s="81"/>
      <c r="J933" s="81"/>
      <c r="K933" s="81"/>
      <c r="L933" s="81"/>
      <c r="M933" s="81"/>
      <c r="N933" s="81"/>
      <c r="O933" s="64"/>
      <c r="P933" s="56"/>
      <c r="Q933" s="57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 spans="1:28" ht="14.4" x14ac:dyDescent="0.3">
      <c r="A934" s="79"/>
      <c r="B934" s="51"/>
      <c r="C934" s="80"/>
      <c r="D934" s="80"/>
      <c r="E934" s="53">
        <f>SUM(F934:N934)</f>
        <v>0</v>
      </c>
      <c r="F934" s="81"/>
      <c r="G934" s="81"/>
      <c r="H934" s="81"/>
      <c r="I934" s="81"/>
      <c r="J934" s="81"/>
      <c r="K934" s="81"/>
      <c r="L934" s="81"/>
      <c r="M934" s="81"/>
      <c r="N934" s="81"/>
      <c r="O934" s="64"/>
      <c r="P934" s="56"/>
      <c r="Q934" s="57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 spans="1:28" ht="14.4" x14ac:dyDescent="0.3">
      <c r="A935" s="79"/>
      <c r="B935" s="51"/>
      <c r="C935" s="80"/>
      <c r="D935" s="80"/>
      <c r="E935" s="53">
        <f>SUM(F935:N935)</f>
        <v>0</v>
      </c>
      <c r="F935" s="81"/>
      <c r="G935" s="81"/>
      <c r="H935" s="81"/>
      <c r="I935" s="81"/>
      <c r="J935" s="81"/>
      <c r="K935" s="81"/>
      <c r="L935" s="81"/>
      <c r="M935" s="81"/>
      <c r="N935" s="81"/>
      <c r="O935" s="64"/>
      <c r="P935" s="56"/>
      <c r="Q935" s="57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 spans="1:28" ht="14.4" x14ac:dyDescent="0.3">
      <c r="A936" s="79"/>
      <c r="B936" s="51"/>
      <c r="C936" s="80"/>
      <c r="D936" s="80"/>
      <c r="E936" s="53">
        <f>SUM(F936:N936)</f>
        <v>0</v>
      </c>
      <c r="F936" s="81"/>
      <c r="G936" s="81"/>
      <c r="H936" s="81"/>
      <c r="I936" s="81"/>
      <c r="J936" s="81"/>
      <c r="K936" s="81"/>
      <c r="L936" s="81"/>
      <c r="M936" s="81"/>
      <c r="N936" s="81"/>
      <c r="O936" s="64"/>
      <c r="P936" s="56"/>
      <c r="Q936" s="57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 spans="1:28" ht="14.4" x14ac:dyDescent="0.3">
      <c r="A937" s="79"/>
      <c r="B937" s="51"/>
      <c r="C937" s="80"/>
      <c r="D937" s="80"/>
      <c r="E937" s="53">
        <f>SUM(F937:N937)</f>
        <v>0</v>
      </c>
      <c r="F937" s="81"/>
      <c r="G937" s="81"/>
      <c r="H937" s="81"/>
      <c r="I937" s="81"/>
      <c r="J937" s="81"/>
      <c r="K937" s="81"/>
      <c r="L937" s="81"/>
      <c r="M937" s="81"/>
      <c r="N937" s="81"/>
      <c r="O937" s="64"/>
      <c r="P937" s="56"/>
      <c r="Q937" s="57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 spans="1:28" ht="14.4" x14ac:dyDescent="0.3">
      <c r="A938" s="79"/>
      <c r="B938" s="51"/>
      <c r="C938" s="80"/>
      <c r="D938" s="80"/>
      <c r="E938" s="53">
        <f>SUM(F938:N938)</f>
        <v>0</v>
      </c>
      <c r="F938" s="81"/>
      <c r="G938" s="81"/>
      <c r="H938" s="81"/>
      <c r="I938" s="81"/>
      <c r="J938" s="81"/>
      <c r="K938" s="81"/>
      <c r="L938" s="81"/>
      <c r="M938" s="81"/>
      <c r="N938" s="81"/>
      <c r="O938" s="64"/>
      <c r="P938" s="56"/>
      <c r="Q938" s="57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 spans="1:28" ht="14.4" x14ac:dyDescent="0.3">
      <c r="A939" s="79"/>
      <c r="B939" s="51"/>
      <c r="C939" s="80"/>
      <c r="D939" s="80"/>
      <c r="E939" s="53">
        <f>SUM(F939:N939)</f>
        <v>0</v>
      </c>
      <c r="F939" s="81"/>
      <c r="G939" s="81"/>
      <c r="H939" s="81"/>
      <c r="I939" s="81"/>
      <c r="J939" s="81"/>
      <c r="K939" s="81"/>
      <c r="L939" s="81"/>
      <c r="M939" s="81"/>
      <c r="N939" s="81"/>
      <c r="O939" s="64"/>
      <c r="P939" s="56"/>
      <c r="Q939" s="57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 spans="1:28" ht="14.4" x14ac:dyDescent="0.3">
      <c r="A940" s="79"/>
      <c r="B940" s="51"/>
      <c r="C940" s="80"/>
      <c r="D940" s="80"/>
      <c r="E940" s="53">
        <f>SUM(F940:N940)</f>
        <v>0</v>
      </c>
      <c r="F940" s="81"/>
      <c r="G940" s="81"/>
      <c r="H940" s="81"/>
      <c r="I940" s="81"/>
      <c r="J940" s="81"/>
      <c r="K940" s="81"/>
      <c r="L940" s="81"/>
      <c r="M940" s="81"/>
      <c r="N940" s="81"/>
      <c r="O940" s="64"/>
      <c r="P940" s="56"/>
      <c r="Q940" s="57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 spans="1:28" ht="14.4" x14ac:dyDescent="0.3">
      <c r="A941" s="79"/>
      <c r="B941" s="51"/>
      <c r="C941" s="80"/>
      <c r="D941" s="80"/>
      <c r="E941" s="53">
        <f>SUM(F941:N941)</f>
        <v>0</v>
      </c>
      <c r="F941" s="81"/>
      <c r="G941" s="81"/>
      <c r="H941" s="81"/>
      <c r="I941" s="81"/>
      <c r="J941" s="81"/>
      <c r="K941" s="81"/>
      <c r="L941" s="81"/>
      <c r="M941" s="81"/>
      <c r="N941" s="81"/>
      <c r="O941" s="64"/>
      <c r="P941" s="56"/>
      <c r="Q941" s="57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 spans="1:28" ht="14.4" x14ac:dyDescent="0.3">
      <c r="A942" s="79"/>
      <c r="B942" s="51"/>
      <c r="C942" s="80"/>
      <c r="D942" s="80"/>
      <c r="E942" s="53">
        <f>SUM(F942:N942)</f>
        <v>0</v>
      </c>
      <c r="F942" s="81"/>
      <c r="G942" s="81"/>
      <c r="H942" s="81"/>
      <c r="I942" s="81"/>
      <c r="J942" s="81"/>
      <c r="K942" s="81"/>
      <c r="L942" s="81"/>
      <c r="M942" s="81"/>
      <c r="N942" s="81"/>
      <c r="O942" s="64"/>
      <c r="P942" s="56"/>
      <c r="Q942" s="57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 spans="1:28" ht="14.4" x14ac:dyDescent="0.3">
      <c r="A943" s="79"/>
      <c r="B943" s="51"/>
      <c r="C943" s="80"/>
      <c r="D943" s="80"/>
      <c r="E943" s="53">
        <f>SUM(F943:N943)</f>
        <v>0</v>
      </c>
      <c r="F943" s="81"/>
      <c r="G943" s="81"/>
      <c r="H943" s="81"/>
      <c r="I943" s="81"/>
      <c r="J943" s="81"/>
      <c r="K943" s="81"/>
      <c r="L943" s="81"/>
      <c r="M943" s="81"/>
      <c r="N943" s="81"/>
      <c r="O943" s="64"/>
      <c r="P943" s="56"/>
      <c r="Q943" s="57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 spans="1:28" ht="14.4" x14ac:dyDescent="0.3">
      <c r="A944" s="79"/>
      <c r="B944" s="51"/>
      <c r="C944" s="80"/>
      <c r="D944" s="80"/>
      <c r="E944" s="53">
        <f>SUM(F944:N944)</f>
        <v>0</v>
      </c>
      <c r="F944" s="81"/>
      <c r="G944" s="81"/>
      <c r="H944" s="81"/>
      <c r="I944" s="81"/>
      <c r="J944" s="81"/>
      <c r="K944" s="81"/>
      <c r="L944" s="81"/>
      <c r="M944" s="81"/>
      <c r="N944" s="81"/>
      <c r="O944" s="64"/>
      <c r="P944" s="56"/>
      <c r="Q944" s="57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 spans="1:28" ht="14.4" x14ac:dyDescent="0.3">
      <c r="A945" s="79"/>
      <c r="B945" s="51"/>
      <c r="C945" s="80"/>
      <c r="D945" s="80"/>
      <c r="E945" s="53">
        <f>SUM(F945:N945)</f>
        <v>0</v>
      </c>
      <c r="F945" s="81"/>
      <c r="G945" s="81"/>
      <c r="H945" s="81"/>
      <c r="I945" s="81"/>
      <c r="J945" s="81"/>
      <c r="K945" s="81"/>
      <c r="L945" s="81"/>
      <c r="M945" s="81"/>
      <c r="N945" s="81"/>
      <c r="O945" s="64"/>
      <c r="P945" s="56"/>
      <c r="Q945" s="57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 spans="1:28" ht="14.4" x14ac:dyDescent="0.3">
      <c r="A946" s="79"/>
      <c r="B946" s="51"/>
      <c r="C946" s="80"/>
      <c r="D946" s="80"/>
      <c r="E946" s="53">
        <f>SUM(F946:N946)</f>
        <v>0</v>
      </c>
      <c r="F946" s="81"/>
      <c r="G946" s="81"/>
      <c r="H946" s="81"/>
      <c r="I946" s="81"/>
      <c r="J946" s="81"/>
      <c r="K946" s="81"/>
      <c r="L946" s="81"/>
      <c r="M946" s="81"/>
      <c r="N946" s="81"/>
      <c r="O946" s="64"/>
      <c r="P946" s="56"/>
      <c r="Q946" s="57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 spans="1:28" ht="14.4" x14ac:dyDescent="0.3">
      <c r="A947" s="79"/>
      <c r="B947" s="51"/>
      <c r="C947" s="80"/>
      <c r="D947" s="80"/>
      <c r="E947" s="53">
        <f>SUM(F947:N947)</f>
        <v>0</v>
      </c>
      <c r="F947" s="81"/>
      <c r="G947" s="81"/>
      <c r="H947" s="81"/>
      <c r="I947" s="81"/>
      <c r="J947" s="81"/>
      <c r="K947" s="81"/>
      <c r="L947" s="81"/>
      <c r="M947" s="81"/>
      <c r="N947" s="81"/>
      <c r="O947" s="64"/>
      <c r="P947" s="56"/>
      <c r="Q947" s="57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 spans="1:28" ht="14.4" x14ac:dyDescent="0.3">
      <c r="A948" s="79"/>
      <c r="B948" s="51"/>
      <c r="C948" s="80"/>
      <c r="D948" s="80"/>
      <c r="E948" s="53">
        <f>SUM(F948:N948)</f>
        <v>0</v>
      </c>
      <c r="F948" s="81"/>
      <c r="G948" s="81"/>
      <c r="H948" s="81"/>
      <c r="I948" s="81"/>
      <c r="J948" s="81"/>
      <c r="K948" s="81"/>
      <c r="L948" s="81"/>
      <c r="M948" s="81"/>
      <c r="N948" s="81"/>
      <c r="O948" s="64"/>
      <c r="P948" s="56"/>
      <c r="Q948" s="57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 spans="1:28" ht="14.4" x14ac:dyDescent="0.3">
      <c r="A949" s="79"/>
      <c r="B949" s="51"/>
      <c r="C949" s="80"/>
      <c r="D949" s="80"/>
      <c r="E949" s="53">
        <f>SUM(F949:N949)</f>
        <v>0</v>
      </c>
      <c r="F949" s="81"/>
      <c r="G949" s="81"/>
      <c r="H949" s="81"/>
      <c r="I949" s="81"/>
      <c r="J949" s="81"/>
      <c r="K949" s="81"/>
      <c r="L949" s="81"/>
      <c r="M949" s="81"/>
      <c r="N949" s="81"/>
      <c r="O949" s="64"/>
      <c r="P949" s="56"/>
      <c r="Q949" s="57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 spans="1:28" ht="14.4" x14ac:dyDescent="0.3">
      <c r="A950" s="79"/>
      <c r="B950" s="51"/>
      <c r="C950" s="80"/>
      <c r="D950" s="80"/>
      <c r="E950" s="53">
        <f>SUM(F950:N950)</f>
        <v>0</v>
      </c>
      <c r="F950" s="81"/>
      <c r="G950" s="81"/>
      <c r="H950" s="81"/>
      <c r="I950" s="81"/>
      <c r="J950" s="81"/>
      <c r="K950" s="81"/>
      <c r="L950" s="81"/>
      <c r="M950" s="81"/>
      <c r="N950" s="81"/>
      <c r="O950" s="64"/>
      <c r="P950" s="56"/>
      <c r="Q950" s="57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 spans="1:28" ht="14.4" x14ac:dyDescent="0.3">
      <c r="A951" s="79"/>
      <c r="B951" s="51"/>
      <c r="C951" s="80"/>
      <c r="D951" s="80"/>
      <c r="E951" s="53">
        <f>SUM(F951:N951)</f>
        <v>0</v>
      </c>
      <c r="F951" s="81"/>
      <c r="G951" s="81"/>
      <c r="H951" s="81"/>
      <c r="I951" s="81"/>
      <c r="J951" s="81"/>
      <c r="K951" s="81"/>
      <c r="L951" s="81"/>
      <c r="M951" s="81"/>
      <c r="N951" s="81"/>
      <c r="O951" s="64"/>
      <c r="P951" s="56"/>
      <c r="Q951" s="57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 spans="1:28" ht="14.4" x14ac:dyDescent="0.3">
      <c r="A952" s="79"/>
      <c r="B952" s="51"/>
      <c r="C952" s="80"/>
      <c r="D952" s="80"/>
      <c r="E952" s="53">
        <f>SUM(F952:N952)</f>
        <v>0</v>
      </c>
      <c r="F952" s="81"/>
      <c r="G952" s="81"/>
      <c r="H952" s="81"/>
      <c r="I952" s="81"/>
      <c r="J952" s="81"/>
      <c r="K952" s="81"/>
      <c r="L952" s="81"/>
      <c r="M952" s="81"/>
      <c r="N952" s="81"/>
      <c r="O952" s="64"/>
      <c r="P952" s="56"/>
      <c r="Q952" s="57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 spans="1:28" ht="14.4" x14ac:dyDescent="0.3">
      <c r="A953" s="79"/>
      <c r="B953" s="51"/>
      <c r="C953" s="80"/>
      <c r="D953" s="80"/>
      <c r="E953" s="53">
        <f>SUM(F953:N953)</f>
        <v>0</v>
      </c>
      <c r="F953" s="81"/>
      <c r="G953" s="81"/>
      <c r="H953" s="81"/>
      <c r="I953" s="81"/>
      <c r="J953" s="81"/>
      <c r="K953" s="81"/>
      <c r="L953" s="81"/>
      <c r="M953" s="81"/>
      <c r="N953" s="81"/>
      <c r="O953" s="64"/>
      <c r="P953" s="56"/>
      <c r="Q953" s="57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 spans="1:28" ht="14.4" x14ac:dyDescent="0.3">
      <c r="A954" s="79"/>
      <c r="B954" s="51"/>
      <c r="C954" s="80"/>
      <c r="D954" s="80"/>
      <c r="E954" s="53">
        <f>SUM(F954:N954)</f>
        <v>0</v>
      </c>
      <c r="F954" s="81"/>
      <c r="G954" s="81"/>
      <c r="H954" s="81"/>
      <c r="I954" s="81"/>
      <c r="J954" s="81"/>
      <c r="K954" s="81"/>
      <c r="L954" s="81"/>
      <c r="M954" s="81"/>
      <c r="N954" s="81"/>
      <c r="O954" s="64"/>
      <c r="P954" s="56"/>
      <c r="Q954" s="57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 spans="1:28" ht="14.4" x14ac:dyDescent="0.3">
      <c r="A955" s="79"/>
      <c r="B955" s="51"/>
      <c r="C955" s="80"/>
      <c r="D955" s="80"/>
      <c r="E955" s="53">
        <f>SUM(F955:N955)</f>
        <v>0</v>
      </c>
      <c r="F955" s="81"/>
      <c r="G955" s="81"/>
      <c r="H955" s="81"/>
      <c r="I955" s="81"/>
      <c r="J955" s="81"/>
      <c r="K955" s="81"/>
      <c r="L955" s="81"/>
      <c r="M955" s="81"/>
      <c r="N955" s="81"/>
      <c r="O955" s="64"/>
      <c r="P955" s="56"/>
      <c r="Q955" s="57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 spans="1:28" ht="14.4" x14ac:dyDescent="0.3">
      <c r="A956" s="79"/>
      <c r="B956" s="51"/>
      <c r="C956" s="80"/>
      <c r="D956" s="80"/>
      <c r="E956" s="53">
        <f>SUM(F956:N956)</f>
        <v>0</v>
      </c>
      <c r="F956" s="81"/>
      <c r="G956" s="81"/>
      <c r="H956" s="81"/>
      <c r="I956" s="81"/>
      <c r="J956" s="81"/>
      <c r="K956" s="81"/>
      <c r="L956" s="81"/>
      <c r="M956" s="81"/>
      <c r="N956" s="81"/>
      <c r="O956" s="64"/>
      <c r="P956" s="56"/>
      <c r="Q956" s="57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 spans="1:28" ht="14.4" x14ac:dyDescent="0.3">
      <c r="A957" s="79"/>
      <c r="B957" s="51"/>
      <c r="C957" s="80"/>
      <c r="D957" s="80"/>
      <c r="E957" s="53">
        <f>SUM(F957:N957)</f>
        <v>0</v>
      </c>
      <c r="F957" s="81"/>
      <c r="G957" s="81"/>
      <c r="H957" s="81"/>
      <c r="I957" s="81"/>
      <c r="J957" s="81"/>
      <c r="K957" s="81"/>
      <c r="L957" s="81"/>
      <c r="M957" s="81"/>
      <c r="N957" s="81"/>
      <c r="O957" s="64"/>
      <c r="P957" s="56"/>
      <c r="Q957" s="57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 spans="1:28" ht="14.4" x14ac:dyDescent="0.3">
      <c r="A958" s="79"/>
      <c r="B958" s="51"/>
      <c r="C958" s="80"/>
      <c r="D958" s="80"/>
      <c r="E958" s="53">
        <f>SUM(F958:N958)</f>
        <v>0</v>
      </c>
      <c r="F958" s="81"/>
      <c r="G958" s="81"/>
      <c r="H958" s="81"/>
      <c r="I958" s="81"/>
      <c r="J958" s="81"/>
      <c r="K958" s="81"/>
      <c r="L958" s="81"/>
      <c r="M958" s="81"/>
      <c r="N958" s="81"/>
      <c r="O958" s="64"/>
      <c r="P958" s="56"/>
      <c r="Q958" s="57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 spans="1:28" ht="14.4" x14ac:dyDescent="0.3">
      <c r="A959" s="79"/>
      <c r="B959" s="51"/>
      <c r="C959" s="80"/>
      <c r="D959" s="80"/>
      <c r="E959" s="53">
        <f>SUM(F959:N959)</f>
        <v>0</v>
      </c>
      <c r="F959" s="81"/>
      <c r="G959" s="81"/>
      <c r="H959" s="81"/>
      <c r="I959" s="81"/>
      <c r="J959" s="81"/>
      <c r="K959" s="81"/>
      <c r="L959" s="81"/>
      <c r="M959" s="81"/>
      <c r="N959" s="81"/>
      <c r="O959" s="64"/>
      <c r="P959" s="56"/>
      <c r="Q959" s="57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 spans="1:28" ht="14.4" x14ac:dyDescent="0.3">
      <c r="A960" s="79"/>
      <c r="B960" s="51"/>
      <c r="C960" s="80"/>
      <c r="D960" s="80"/>
      <c r="E960" s="53">
        <f>SUM(F960:N960)</f>
        <v>0</v>
      </c>
      <c r="F960" s="81"/>
      <c r="G960" s="81"/>
      <c r="H960" s="81"/>
      <c r="I960" s="81"/>
      <c r="J960" s="81"/>
      <c r="K960" s="81"/>
      <c r="L960" s="81"/>
      <c r="M960" s="81"/>
      <c r="N960" s="81"/>
      <c r="O960" s="64"/>
      <c r="P960" s="56"/>
      <c r="Q960" s="57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 spans="1:28" ht="14.4" x14ac:dyDescent="0.3">
      <c r="A961" s="79"/>
      <c r="B961" s="51"/>
      <c r="C961" s="80"/>
      <c r="D961" s="80"/>
      <c r="E961" s="53">
        <f>SUM(F961:N961)</f>
        <v>0</v>
      </c>
      <c r="F961" s="81"/>
      <c r="G961" s="81"/>
      <c r="H961" s="81"/>
      <c r="I961" s="81"/>
      <c r="J961" s="81"/>
      <c r="K961" s="81"/>
      <c r="L961" s="81"/>
      <c r="M961" s="81"/>
      <c r="N961" s="81"/>
      <c r="O961" s="64"/>
      <c r="P961" s="56"/>
      <c r="Q961" s="57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 spans="1:28" ht="14.4" x14ac:dyDescent="0.3">
      <c r="A962" s="79"/>
      <c r="B962" s="51"/>
      <c r="C962" s="80"/>
      <c r="D962" s="80"/>
      <c r="E962" s="53">
        <f>SUM(F962:N962)</f>
        <v>0</v>
      </c>
      <c r="F962" s="81"/>
      <c r="G962" s="81"/>
      <c r="H962" s="81"/>
      <c r="I962" s="81"/>
      <c r="J962" s="81"/>
      <c r="K962" s="81"/>
      <c r="L962" s="81"/>
      <c r="M962" s="81"/>
      <c r="N962" s="81"/>
      <c r="O962" s="64"/>
      <c r="P962" s="56"/>
      <c r="Q962" s="57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 spans="1:28" ht="14.4" x14ac:dyDescent="0.3">
      <c r="A963" s="79"/>
      <c r="B963" s="51"/>
      <c r="C963" s="80"/>
      <c r="D963" s="80"/>
      <c r="E963" s="53">
        <f>SUM(F963:N963)</f>
        <v>0</v>
      </c>
      <c r="F963" s="81"/>
      <c r="G963" s="81"/>
      <c r="H963" s="81"/>
      <c r="I963" s="81"/>
      <c r="J963" s="81"/>
      <c r="K963" s="81"/>
      <c r="L963" s="81"/>
      <c r="M963" s="81"/>
      <c r="N963" s="81"/>
      <c r="O963" s="64"/>
      <c r="P963" s="56"/>
      <c r="Q963" s="57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 spans="1:28" ht="14.4" x14ac:dyDescent="0.3">
      <c r="A964" s="79"/>
      <c r="B964" s="51"/>
      <c r="C964" s="80"/>
      <c r="D964" s="80"/>
      <c r="E964" s="53">
        <f>SUM(F964:N964)</f>
        <v>0</v>
      </c>
      <c r="F964" s="81"/>
      <c r="G964" s="81"/>
      <c r="H964" s="81"/>
      <c r="I964" s="81"/>
      <c r="J964" s="81"/>
      <c r="K964" s="81"/>
      <c r="L964" s="81"/>
      <c r="M964" s="81"/>
      <c r="N964" s="81"/>
      <c r="O964" s="64"/>
      <c r="P964" s="56"/>
      <c r="Q964" s="57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 spans="1:28" ht="14.4" x14ac:dyDescent="0.3">
      <c r="A965" s="79"/>
      <c r="B965" s="51"/>
      <c r="C965" s="80"/>
      <c r="D965" s="80"/>
      <c r="E965" s="53">
        <f>SUM(F965:N965)</f>
        <v>0</v>
      </c>
      <c r="F965" s="81"/>
      <c r="G965" s="81"/>
      <c r="H965" s="81"/>
      <c r="I965" s="81"/>
      <c r="J965" s="81"/>
      <c r="K965" s="81"/>
      <c r="L965" s="81"/>
      <c r="M965" s="81"/>
      <c r="N965" s="81"/>
      <c r="O965" s="64"/>
      <c r="P965" s="56"/>
      <c r="Q965" s="57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 spans="1:28" ht="14.4" x14ac:dyDescent="0.3">
      <c r="A966" s="79"/>
      <c r="B966" s="51"/>
      <c r="C966" s="80"/>
      <c r="D966" s="80"/>
      <c r="E966" s="53">
        <f>SUM(F966:N966)</f>
        <v>0</v>
      </c>
      <c r="F966" s="81"/>
      <c r="G966" s="81"/>
      <c r="H966" s="81"/>
      <c r="I966" s="81"/>
      <c r="J966" s="81"/>
      <c r="K966" s="81"/>
      <c r="L966" s="81"/>
      <c r="M966" s="81"/>
      <c r="N966" s="81"/>
      <c r="O966" s="64"/>
      <c r="P966" s="56"/>
      <c r="Q966" s="57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 spans="1:28" ht="14.4" x14ac:dyDescent="0.3">
      <c r="A967" s="79"/>
      <c r="B967" s="51"/>
      <c r="C967" s="80"/>
      <c r="D967" s="80"/>
      <c r="E967" s="53">
        <f>SUM(F967:N967)</f>
        <v>0</v>
      </c>
      <c r="F967" s="81"/>
      <c r="G967" s="81"/>
      <c r="H967" s="81"/>
      <c r="I967" s="81"/>
      <c r="J967" s="81"/>
      <c r="K967" s="81"/>
      <c r="L967" s="81"/>
      <c r="M967" s="81"/>
      <c r="N967" s="81"/>
      <c r="O967" s="64"/>
      <c r="P967" s="56"/>
      <c r="Q967" s="57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 spans="1:28" ht="14.4" x14ac:dyDescent="0.3">
      <c r="A968" s="79"/>
      <c r="B968" s="51"/>
      <c r="C968" s="80"/>
      <c r="D968" s="80"/>
      <c r="E968" s="53">
        <f>SUM(F968:N968)</f>
        <v>0</v>
      </c>
      <c r="F968" s="81"/>
      <c r="G968" s="81"/>
      <c r="H968" s="81"/>
      <c r="I968" s="81"/>
      <c r="J968" s="81"/>
      <c r="K968" s="81"/>
      <c r="L968" s="81"/>
      <c r="M968" s="81"/>
      <c r="N968" s="81"/>
      <c r="O968" s="64"/>
      <c r="P968" s="56"/>
      <c r="Q968" s="57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 spans="1:28" ht="14.4" x14ac:dyDescent="0.3">
      <c r="A969" s="79"/>
      <c r="B969" s="51"/>
      <c r="C969" s="80"/>
      <c r="D969" s="80"/>
      <c r="E969" s="53">
        <f>SUM(F969:N969)</f>
        <v>0</v>
      </c>
      <c r="F969" s="81"/>
      <c r="G969" s="81"/>
      <c r="H969" s="81"/>
      <c r="I969" s="81"/>
      <c r="J969" s="81"/>
      <c r="K969" s="81"/>
      <c r="L969" s="81"/>
      <c r="M969" s="81"/>
      <c r="N969" s="81"/>
      <c r="O969" s="64"/>
      <c r="P969" s="56"/>
      <c r="Q969" s="57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 spans="1:28" ht="14.4" x14ac:dyDescent="0.3">
      <c r="A970" s="79"/>
      <c r="B970" s="51"/>
      <c r="C970" s="80"/>
      <c r="D970" s="80"/>
      <c r="E970" s="53">
        <f>SUM(F970:N970)</f>
        <v>0</v>
      </c>
      <c r="F970" s="81"/>
      <c r="G970" s="81"/>
      <c r="H970" s="81"/>
      <c r="I970" s="81"/>
      <c r="J970" s="81"/>
      <c r="K970" s="81"/>
      <c r="L970" s="81"/>
      <c r="M970" s="81"/>
      <c r="N970" s="81"/>
      <c r="O970" s="64"/>
      <c r="P970" s="56"/>
      <c r="Q970" s="57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 spans="1:28" ht="14.4" x14ac:dyDescent="0.3">
      <c r="A971" s="79"/>
      <c r="B971" s="51"/>
      <c r="C971" s="80"/>
      <c r="D971" s="80"/>
      <c r="E971" s="53">
        <f>SUM(F971:N971)</f>
        <v>0</v>
      </c>
      <c r="F971" s="81"/>
      <c r="G971" s="81"/>
      <c r="H971" s="81"/>
      <c r="I971" s="81"/>
      <c r="J971" s="81"/>
      <c r="K971" s="81"/>
      <c r="L971" s="81"/>
      <c r="M971" s="81"/>
      <c r="N971" s="81"/>
      <c r="O971" s="64"/>
      <c r="P971" s="56"/>
      <c r="Q971" s="57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 spans="1:28" ht="14.4" x14ac:dyDescent="0.3">
      <c r="A972" s="79"/>
      <c r="B972" s="51"/>
      <c r="C972" s="80"/>
      <c r="D972" s="80"/>
      <c r="E972" s="53">
        <f>SUM(F972:N972)</f>
        <v>0</v>
      </c>
      <c r="F972" s="81"/>
      <c r="G972" s="81"/>
      <c r="H972" s="81"/>
      <c r="I972" s="81"/>
      <c r="J972" s="81"/>
      <c r="K972" s="81"/>
      <c r="L972" s="81"/>
      <c r="M972" s="81"/>
      <c r="N972" s="81"/>
      <c r="O972" s="64"/>
      <c r="P972" s="56"/>
      <c r="Q972" s="57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 spans="1:28" ht="14.4" x14ac:dyDescent="0.3">
      <c r="A973" s="79"/>
      <c r="B973" s="51"/>
      <c r="C973" s="80"/>
      <c r="D973" s="80"/>
      <c r="E973" s="53">
        <f>SUM(F973:N973)</f>
        <v>0</v>
      </c>
      <c r="F973" s="81"/>
      <c r="G973" s="81"/>
      <c r="H973" s="81"/>
      <c r="I973" s="81"/>
      <c r="J973" s="81"/>
      <c r="K973" s="81"/>
      <c r="L973" s="81"/>
      <c r="M973" s="81"/>
      <c r="N973" s="81"/>
      <c r="O973" s="64"/>
      <c r="P973" s="56"/>
      <c r="Q973" s="57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 spans="1:28" ht="14.4" x14ac:dyDescent="0.3">
      <c r="A974" s="79"/>
      <c r="B974" s="51"/>
      <c r="C974" s="80"/>
      <c r="D974" s="80"/>
      <c r="E974" s="53">
        <f>SUM(F974:N974)</f>
        <v>0</v>
      </c>
      <c r="F974" s="81"/>
      <c r="G974" s="81"/>
      <c r="H974" s="81"/>
      <c r="I974" s="81"/>
      <c r="J974" s="81"/>
      <c r="K974" s="81"/>
      <c r="L974" s="81"/>
      <c r="M974" s="81"/>
      <c r="N974" s="81"/>
      <c r="O974" s="64"/>
      <c r="P974" s="56"/>
      <c r="Q974" s="57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 spans="1:28" ht="14.4" x14ac:dyDescent="0.3">
      <c r="A975" s="79"/>
      <c r="B975" s="51"/>
      <c r="C975" s="80"/>
      <c r="D975" s="80"/>
      <c r="E975" s="53">
        <f>SUM(F975:N975)</f>
        <v>0</v>
      </c>
      <c r="F975" s="81"/>
      <c r="G975" s="81"/>
      <c r="H975" s="81"/>
      <c r="I975" s="81"/>
      <c r="J975" s="81"/>
      <c r="K975" s="81"/>
      <c r="L975" s="81"/>
      <c r="M975" s="81"/>
      <c r="N975" s="81"/>
      <c r="O975" s="64"/>
      <c r="P975" s="56"/>
      <c r="Q975" s="57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 spans="1:28" ht="14.4" x14ac:dyDescent="0.3">
      <c r="A976" s="79"/>
      <c r="B976" s="51"/>
      <c r="C976" s="80"/>
      <c r="D976" s="80"/>
      <c r="E976" s="53">
        <f>SUM(F976:N976)</f>
        <v>0</v>
      </c>
      <c r="F976" s="81"/>
      <c r="G976" s="81"/>
      <c r="H976" s="81"/>
      <c r="I976" s="81"/>
      <c r="J976" s="81"/>
      <c r="K976" s="81"/>
      <c r="L976" s="81"/>
      <c r="M976" s="81"/>
      <c r="N976" s="81"/>
      <c r="O976" s="64"/>
      <c r="P976" s="56"/>
      <c r="Q976" s="57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 spans="1:28" ht="14.4" x14ac:dyDescent="0.3">
      <c r="A977" s="79"/>
      <c r="B977" s="51"/>
      <c r="C977" s="80"/>
      <c r="D977" s="80"/>
      <c r="E977" s="53">
        <f>SUM(F977:N977)</f>
        <v>0</v>
      </c>
      <c r="F977" s="81"/>
      <c r="G977" s="81"/>
      <c r="H977" s="81"/>
      <c r="I977" s="81"/>
      <c r="J977" s="81"/>
      <c r="K977" s="81"/>
      <c r="L977" s="81"/>
      <c r="M977" s="81"/>
      <c r="N977" s="81"/>
      <c r="O977" s="64"/>
      <c r="P977" s="56"/>
      <c r="Q977" s="57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 spans="1:28" ht="14.4" x14ac:dyDescent="0.3">
      <c r="A978" s="79"/>
      <c r="B978" s="51"/>
      <c r="C978" s="80"/>
      <c r="D978" s="80"/>
      <c r="E978" s="53">
        <f>SUM(F978:N978)</f>
        <v>0</v>
      </c>
      <c r="F978" s="81"/>
      <c r="G978" s="81"/>
      <c r="H978" s="81"/>
      <c r="I978" s="81"/>
      <c r="J978" s="81"/>
      <c r="K978" s="81"/>
      <c r="L978" s="81"/>
      <c r="M978" s="81"/>
      <c r="N978" s="81"/>
      <c r="O978" s="64"/>
      <c r="P978" s="56"/>
      <c r="Q978" s="57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 spans="1:28" ht="14.4" x14ac:dyDescent="0.3">
      <c r="A979" s="79"/>
      <c r="B979" s="51"/>
      <c r="C979" s="80"/>
      <c r="D979" s="80"/>
      <c r="E979" s="53">
        <f>SUM(F979:N979)</f>
        <v>0</v>
      </c>
      <c r="F979" s="81"/>
      <c r="G979" s="81"/>
      <c r="H979" s="81"/>
      <c r="I979" s="81"/>
      <c r="J979" s="81"/>
      <c r="K979" s="81"/>
      <c r="L979" s="81"/>
      <c r="M979" s="81"/>
      <c r="N979" s="81"/>
      <c r="O979" s="64"/>
      <c r="P979" s="56"/>
      <c r="Q979" s="57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 spans="1:28" ht="14.4" x14ac:dyDescent="0.3">
      <c r="A980" s="79"/>
      <c r="B980" s="51"/>
      <c r="C980" s="80"/>
      <c r="D980" s="80"/>
      <c r="E980" s="53">
        <f>SUM(F980:N980)</f>
        <v>0</v>
      </c>
      <c r="F980" s="81"/>
      <c r="G980" s="81"/>
      <c r="H980" s="81"/>
      <c r="I980" s="81"/>
      <c r="J980" s="81"/>
      <c r="K980" s="81"/>
      <c r="L980" s="81"/>
      <c r="M980" s="81"/>
      <c r="N980" s="81"/>
      <c r="O980" s="64"/>
      <c r="P980" s="56"/>
      <c r="Q980" s="57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 spans="1:28" ht="14.4" x14ac:dyDescent="0.3">
      <c r="A981" s="79"/>
      <c r="B981" s="51"/>
      <c r="C981" s="80"/>
      <c r="D981" s="80"/>
      <c r="E981" s="53">
        <f>SUM(F981:N981)</f>
        <v>0</v>
      </c>
      <c r="F981" s="81"/>
      <c r="G981" s="81"/>
      <c r="H981" s="81"/>
      <c r="I981" s="81"/>
      <c r="J981" s="81"/>
      <c r="K981" s="81"/>
      <c r="L981" s="81"/>
      <c r="M981" s="81"/>
      <c r="N981" s="81"/>
      <c r="O981" s="64"/>
      <c r="P981" s="56"/>
      <c r="Q981" s="57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  <row r="982" spans="1:28" ht="14.4" x14ac:dyDescent="0.3">
      <c r="A982" s="79"/>
      <c r="B982" s="51"/>
      <c r="C982" s="80"/>
      <c r="D982" s="80"/>
      <c r="E982" s="53">
        <f>SUM(F982:N982)</f>
        <v>0</v>
      </c>
      <c r="F982" s="81"/>
      <c r="G982" s="81"/>
      <c r="H982" s="81"/>
      <c r="I982" s="81"/>
      <c r="J982" s="81"/>
      <c r="K982" s="81"/>
      <c r="L982" s="81"/>
      <c r="M982" s="81"/>
      <c r="N982" s="81"/>
      <c r="O982" s="64"/>
      <c r="P982" s="56"/>
      <c r="Q982" s="57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</row>
    <row r="983" spans="1:28" ht="14.4" x14ac:dyDescent="0.3">
      <c r="A983" s="79"/>
      <c r="B983" s="51"/>
      <c r="C983" s="80"/>
      <c r="D983" s="80"/>
      <c r="E983" s="53">
        <f>SUM(F983:N983)</f>
        <v>0</v>
      </c>
      <c r="F983" s="81"/>
      <c r="G983" s="81"/>
      <c r="H983" s="81"/>
      <c r="I983" s="81"/>
      <c r="J983" s="81"/>
      <c r="K983" s="81"/>
      <c r="L983" s="81"/>
      <c r="M983" s="81"/>
      <c r="N983" s="81"/>
      <c r="O983" s="64"/>
      <c r="P983" s="56"/>
      <c r="Q983" s="57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</row>
    <row r="984" spans="1:28" ht="14.4" x14ac:dyDescent="0.3">
      <c r="A984" s="79"/>
      <c r="B984" s="51"/>
      <c r="C984" s="80"/>
      <c r="D984" s="80"/>
      <c r="E984" s="53">
        <f>SUM(F984:N984)</f>
        <v>0</v>
      </c>
      <c r="F984" s="81"/>
      <c r="G984" s="81"/>
      <c r="H984" s="81"/>
      <c r="I984" s="81"/>
      <c r="J984" s="81"/>
      <c r="K984" s="81"/>
      <c r="L984" s="81"/>
      <c r="M984" s="81"/>
      <c r="N984" s="81"/>
      <c r="O984" s="64"/>
      <c r="P984" s="56"/>
      <c r="Q984" s="57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</row>
    <row r="985" spans="1:28" ht="14.4" x14ac:dyDescent="0.3">
      <c r="A985" s="79"/>
      <c r="B985" s="51"/>
      <c r="C985" s="80"/>
      <c r="D985" s="80"/>
      <c r="E985" s="53">
        <f>SUM(F985:N985)</f>
        <v>0</v>
      </c>
      <c r="F985" s="81"/>
      <c r="G985" s="81"/>
      <c r="H985" s="81"/>
      <c r="I985" s="81"/>
      <c r="J985" s="81"/>
      <c r="K985" s="81"/>
      <c r="L985" s="81"/>
      <c r="M985" s="81"/>
      <c r="N985" s="81"/>
      <c r="O985" s="64"/>
      <c r="P985" s="56"/>
      <c r="Q985" s="57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</row>
    <row r="986" spans="1:28" ht="14.4" x14ac:dyDescent="0.3">
      <c r="A986" s="79"/>
      <c r="B986" s="51"/>
      <c r="C986" s="80"/>
      <c r="D986" s="80"/>
      <c r="E986" s="53">
        <f>SUM(F986:N986)</f>
        <v>0</v>
      </c>
      <c r="F986" s="81"/>
      <c r="G986" s="81"/>
      <c r="H986" s="81"/>
      <c r="I986" s="81"/>
      <c r="J986" s="81"/>
      <c r="K986" s="81"/>
      <c r="L986" s="81"/>
      <c r="M986" s="81"/>
      <c r="N986" s="81"/>
      <c r="O986" s="64"/>
      <c r="P986" s="56"/>
      <c r="Q986" s="57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</row>
    <row r="987" spans="1:28" ht="14.4" x14ac:dyDescent="0.3">
      <c r="A987" s="79"/>
      <c r="B987" s="51"/>
      <c r="C987" s="80"/>
      <c r="D987" s="80"/>
      <c r="E987" s="53">
        <f>SUM(F987:N987)</f>
        <v>0</v>
      </c>
      <c r="F987" s="81"/>
      <c r="G987" s="81"/>
      <c r="H987" s="81"/>
      <c r="I987" s="81"/>
      <c r="J987" s="81"/>
      <c r="K987" s="81"/>
      <c r="L987" s="81"/>
      <c r="M987" s="81"/>
      <c r="N987" s="81"/>
      <c r="O987" s="64"/>
      <c r="P987" s="56"/>
      <c r="Q987" s="57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</row>
    <row r="988" spans="1:28" ht="14.4" x14ac:dyDescent="0.3">
      <c r="A988" s="79"/>
      <c r="B988" s="51"/>
      <c r="C988" s="80"/>
      <c r="D988" s="80"/>
      <c r="E988" s="53">
        <f>SUM(F988:N988)</f>
        <v>0</v>
      </c>
      <c r="F988" s="81"/>
      <c r="G988" s="81"/>
      <c r="H988" s="81"/>
      <c r="I988" s="81"/>
      <c r="J988" s="81"/>
      <c r="K988" s="81"/>
      <c r="L988" s="81"/>
      <c r="M988" s="81"/>
      <c r="N988" s="81"/>
      <c r="O988" s="64"/>
      <c r="P988" s="56"/>
      <c r="Q988" s="57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</row>
    <row r="989" spans="1:28" ht="14.4" x14ac:dyDescent="0.3">
      <c r="A989" s="79"/>
      <c r="B989" s="51"/>
      <c r="C989" s="80"/>
      <c r="D989" s="80"/>
      <c r="E989" s="53">
        <f>SUM(F989:N989)</f>
        <v>0</v>
      </c>
      <c r="F989" s="81"/>
      <c r="G989" s="81"/>
      <c r="H989" s="81"/>
      <c r="I989" s="81"/>
      <c r="J989" s="81"/>
      <c r="K989" s="81"/>
      <c r="L989" s="81"/>
      <c r="M989" s="81"/>
      <c r="N989" s="81"/>
      <c r="O989" s="64"/>
      <c r="P989" s="56"/>
      <c r="Q989" s="57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</row>
    <row r="990" spans="1:28" ht="14.4" x14ac:dyDescent="0.3">
      <c r="A990" s="79"/>
      <c r="B990" s="51"/>
      <c r="C990" s="80"/>
      <c r="D990" s="80"/>
      <c r="E990" s="53">
        <f>SUM(F990:N990)</f>
        <v>0</v>
      </c>
      <c r="F990" s="81"/>
      <c r="G990" s="81"/>
      <c r="H990" s="81"/>
      <c r="I990" s="81"/>
      <c r="J990" s="81"/>
      <c r="K990" s="81"/>
      <c r="L990" s="81"/>
      <c r="M990" s="81"/>
      <c r="N990" s="81"/>
      <c r="O990" s="64"/>
      <c r="P990" s="56"/>
      <c r="Q990" s="57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</row>
    <row r="991" spans="1:28" ht="14.4" x14ac:dyDescent="0.3">
      <c r="A991" s="79"/>
      <c r="B991" s="51"/>
      <c r="C991" s="80"/>
      <c r="D991" s="80"/>
      <c r="E991" s="53">
        <f>SUM(F991:N991)</f>
        <v>0</v>
      </c>
      <c r="F991" s="81"/>
      <c r="G991" s="81"/>
      <c r="H991" s="81"/>
      <c r="I991" s="81"/>
      <c r="J991" s="81"/>
      <c r="K991" s="81"/>
      <c r="L991" s="81"/>
      <c r="M991" s="81"/>
      <c r="N991" s="81"/>
      <c r="O991" s="64"/>
      <c r="P991" s="56"/>
      <c r="Q991" s="57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</row>
    <row r="992" spans="1:28" ht="14.4" x14ac:dyDescent="0.3">
      <c r="A992" s="79"/>
      <c r="B992" s="51"/>
      <c r="C992" s="80"/>
      <c r="D992" s="80"/>
      <c r="E992" s="53">
        <f>SUM(F992:N992)</f>
        <v>0</v>
      </c>
      <c r="F992" s="81"/>
      <c r="G992" s="81"/>
      <c r="H992" s="81"/>
      <c r="I992" s="81"/>
      <c r="J992" s="81"/>
      <c r="K992" s="81"/>
      <c r="L992" s="81"/>
      <c r="M992" s="81"/>
      <c r="N992" s="81"/>
      <c r="O992" s="64"/>
      <c r="P992" s="56"/>
      <c r="Q992" s="57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</row>
    <row r="993" spans="1:28" ht="14.4" x14ac:dyDescent="0.3">
      <c r="A993" s="79"/>
      <c r="B993" s="51"/>
      <c r="C993" s="80"/>
      <c r="D993" s="80"/>
      <c r="E993" s="53">
        <f>SUM(F993:N993)</f>
        <v>0</v>
      </c>
      <c r="F993" s="81"/>
      <c r="G993" s="81"/>
      <c r="H993" s="81"/>
      <c r="I993" s="81"/>
      <c r="J993" s="81"/>
      <c r="K993" s="81"/>
      <c r="L993" s="81"/>
      <c r="M993" s="81"/>
      <c r="N993" s="81"/>
      <c r="O993" s="64"/>
      <c r="P993" s="56"/>
      <c r="Q993" s="57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</row>
    <row r="994" spans="1:28" ht="14.4" x14ac:dyDescent="0.3">
      <c r="A994" s="79"/>
      <c r="B994" s="51"/>
      <c r="C994" s="80"/>
      <c r="D994" s="80"/>
      <c r="E994" s="53">
        <f>SUM(F994:N994)</f>
        <v>0</v>
      </c>
      <c r="F994" s="81"/>
      <c r="G994" s="81"/>
      <c r="H994" s="81"/>
      <c r="I994" s="81"/>
      <c r="J994" s="81"/>
      <c r="K994" s="81"/>
      <c r="L994" s="81"/>
      <c r="M994" s="81"/>
      <c r="N994" s="81"/>
      <c r="O994" s="64"/>
      <c r="P994" s="56"/>
      <c r="Q994" s="57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</row>
    <row r="995" spans="1:28" ht="14.4" x14ac:dyDescent="0.3">
      <c r="A995" s="79"/>
      <c r="B995" s="51"/>
      <c r="C995" s="80"/>
      <c r="D995" s="80"/>
      <c r="E995" s="53">
        <f>SUM(F995:N995)</f>
        <v>0</v>
      </c>
      <c r="F995" s="81"/>
      <c r="G995" s="81"/>
      <c r="H995" s="81"/>
      <c r="I995" s="81"/>
      <c r="J995" s="81"/>
      <c r="K995" s="81"/>
      <c r="L995" s="81"/>
      <c r="M995" s="81"/>
      <c r="N995" s="81"/>
      <c r="O995" s="64"/>
      <c r="P995" s="56"/>
      <c r="Q995" s="57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</row>
    <row r="996" spans="1:28" ht="14.4" x14ac:dyDescent="0.3">
      <c r="A996" s="79"/>
      <c r="B996" s="51"/>
      <c r="C996" s="80"/>
      <c r="D996" s="80"/>
      <c r="E996" s="53">
        <f>SUM(F996:N996)</f>
        <v>0</v>
      </c>
      <c r="F996" s="81"/>
      <c r="G996" s="81"/>
      <c r="H996" s="81"/>
      <c r="I996" s="81"/>
      <c r="J996" s="81"/>
      <c r="K996" s="81"/>
      <c r="L996" s="81"/>
      <c r="M996" s="81"/>
      <c r="N996" s="81"/>
      <c r="O996" s="64"/>
      <c r="P996" s="56"/>
      <c r="Q996" s="57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</row>
    <row r="997" spans="1:28" ht="14.4" x14ac:dyDescent="0.3">
      <c r="A997" s="79"/>
      <c r="B997" s="51"/>
      <c r="C997" s="80"/>
      <c r="D997" s="80"/>
      <c r="E997" s="53">
        <f>SUM(F997:N997)</f>
        <v>0</v>
      </c>
      <c r="F997" s="81"/>
      <c r="G997" s="81"/>
      <c r="H997" s="81"/>
      <c r="I997" s="81"/>
      <c r="J997" s="81"/>
      <c r="K997" s="81"/>
      <c r="L997" s="81"/>
      <c r="M997" s="81"/>
      <c r="N997" s="81"/>
      <c r="O997" s="64"/>
      <c r="P997" s="56"/>
      <c r="Q997" s="57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</row>
    <row r="998" spans="1:28" ht="14.4" x14ac:dyDescent="0.3">
      <c r="A998" s="79"/>
      <c r="B998" s="51"/>
      <c r="C998" s="80"/>
      <c r="D998" s="80"/>
      <c r="E998" s="53">
        <f>SUM(F998:N998)</f>
        <v>0</v>
      </c>
      <c r="F998" s="81"/>
      <c r="G998" s="81"/>
      <c r="H998" s="81"/>
      <c r="I998" s="81"/>
      <c r="J998" s="81"/>
      <c r="K998" s="81"/>
      <c r="L998" s="81"/>
      <c r="M998" s="81"/>
      <c r="N998" s="81"/>
      <c r="O998" s="64"/>
      <c r="P998" s="56"/>
      <c r="Q998" s="57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</row>
    <row r="999" spans="1:28" ht="14.4" x14ac:dyDescent="0.3">
      <c r="A999" s="79"/>
      <c r="B999" s="51"/>
      <c r="C999" s="80"/>
      <c r="D999" s="80"/>
      <c r="E999" s="53">
        <f>SUM(F999:N999)</f>
        <v>0</v>
      </c>
      <c r="F999" s="81"/>
      <c r="G999" s="81"/>
      <c r="H999" s="81"/>
      <c r="I999" s="81"/>
      <c r="J999" s="81"/>
      <c r="K999" s="81"/>
      <c r="L999" s="81"/>
      <c r="M999" s="81"/>
      <c r="N999" s="81"/>
      <c r="O999" s="64"/>
      <c r="P999" s="56"/>
      <c r="Q999" s="57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</row>
    <row r="1000" spans="1:28" ht="14.4" x14ac:dyDescent="0.3">
      <c r="A1000" s="79"/>
      <c r="B1000" s="83"/>
      <c r="C1000" s="84"/>
      <c r="D1000" s="84"/>
      <c r="E1000" s="53">
        <f>SUM(F1000:N1000)</f>
        <v>0</v>
      </c>
      <c r="F1000" s="85"/>
      <c r="G1000" s="85"/>
      <c r="H1000" s="85"/>
      <c r="I1000" s="85"/>
      <c r="J1000" s="85"/>
      <c r="K1000" s="85"/>
      <c r="L1000" s="85"/>
      <c r="M1000" s="85"/>
      <c r="N1000" s="85"/>
      <c r="O1000" s="86"/>
      <c r="P1000" s="87"/>
      <c r="Q1000" s="88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</row>
  </sheetData>
  <hyperlinks>
    <hyperlink ref="Q10" r:id="rId1" xr:uid="{00000000-0004-0000-0500-000000000000}"/>
    <hyperlink ref="Q19" r:id="rId2" xr:uid="{00000000-0004-0000-0500-000001000000}"/>
    <hyperlink ref="Q23" r:id="rId3" xr:uid="{00000000-0004-0000-0500-000002000000}"/>
    <hyperlink ref="Q35" r:id="rId4" xr:uid="{00000000-0004-0000-0500-000003000000}"/>
    <hyperlink ref="Q45" r:id="rId5" xr:uid="{00000000-0004-0000-0500-000004000000}"/>
    <hyperlink ref="Q52" r:id="rId6" xr:uid="{00000000-0004-0000-0500-000005000000}"/>
    <hyperlink ref="Q56" r:id="rId7" xr:uid="{00000000-0004-0000-0500-000006000000}"/>
    <hyperlink ref="Q60" r:id="rId8" xr:uid="{00000000-0004-0000-0500-000007000000}"/>
    <hyperlink ref="Q66" r:id="rId9" xr:uid="{00000000-0004-0000-0500-000008000000}"/>
    <hyperlink ref="Q69" r:id="rId10" xr:uid="{00000000-0004-0000-0500-000009000000}"/>
    <hyperlink ref="Q74" r:id="rId11" xr:uid="{00000000-0004-0000-0500-00000A000000}"/>
    <hyperlink ref="Q84" r:id="rId12" xr:uid="{00000000-0004-0000-0500-00000B000000}"/>
    <hyperlink ref="Q103" r:id="rId13" xr:uid="{00000000-0004-0000-0500-00000C000000}"/>
    <hyperlink ref="Q109" r:id="rId14" xr:uid="{00000000-0004-0000-0500-00000D000000}"/>
    <hyperlink ref="Q120" r:id="rId15" xr:uid="{00000000-0004-0000-0500-00000E000000}"/>
    <hyperlink ref="Q133" r:id="rId16" xr:uid="{00000000-0004-0000-0500-00000F000000}"/>
    <hyperlink ref="Q138" r:id="rId17" xr:uid="{00000000-0004-0000-0500-000010000000}"/>
    <hyperlink ref="Q148" r:id="rId18" xr:uid="{00000000-0004-0000-0500-000011000000}"/>
    <hyperlink ref="Q164" r:id="rId19" xr:uid="{00000000-0004-0000-0500-000012000000}"/>
    <hyperlink ref="Q167" r:id="rId20" xr:uid="{00000000-0004-0000-0500-000013000000}"/>
    <hyperlink ref="Q178" r:id="rId21" xr:uid="{00000000-0004-0000-0500-000014000000}"/>
    <hyperlink ref="Q185" r:id="rId22" xr:uid="{00000000-0004-0000-0500-000015000000}"/>
    <hyperlink ref="Q194" r:id="rId23" xr:uid="{00000000-0004-0000-0500-000016000000}"/>
    <hyperlink ref="Q209" r:id="rId24" xr:uid="{00000000-0004-0000-0500-000017000000}"/>
    <hyperlink ref="Q232" r:id="rId25" xr:uid="{00000000-0004-0000-0500-000018000000}"/>
    <hyperlink ref="Q242" r:id="rId26" xr:uid="{00000000-0004-0000-0500-000019000000}"/>
    <hyperlink ref="Q251" r:id="rId27" xr:uid="{00000000-0004-0000-0500-00001A000000}"/>
    <hyperlink ref="Q255" r:id="rId28" xr:uid="{00000000-0004-0000-0500-00001B000000}"/>
    <hyperlink ref="Q265" r:id="rId29" xr:uid="{00000000-0004-0000-0500-00001C000000}"/>
    <hyperlink ref="Q267" r:id="rId30" xr:uid="{00000000-0004-0000-0500-00001D000000}"/>
    <hyperlink ref="Q272" r:id="rId31" xr:uid="{00000000-0004-0000-0500-00001E000000}"/>
    <hyperlink ref="Q281" r:id="rId32" xr:uid="{00000000-0004-0000-0500-00001F000000}"/>
    <hyperlink ref="Q286" r:id="rId33" xr:uid="{00000000-0004-0000-0500-000020000000}"/>
    <hyperlink ref="Q296" r:id="rId34" xr:uid="{00000000-0004-0000-0500-000021000000}"/>
    <hyperlink ref="Q309" r:id="rId35" xr:uid="{00000000-0004-0000-0500-000022000000}"/>
    <hyperlink ref="Q316" r:id="rId36" xr:uid="{00000000-0004-0000-0500-000023000000}"/>
    <hyperlink ref="Q325" r:id="rId37" xr:uid="{00000000-0004-0000-0500-000024000000}"/>
    <hyperlink ref="Q335" r:id="rId38" xr:uid="{00000000-0004-0000-0500-000025000000}"/>
    <hyperlink ref="Q4" r:id="rId39" xr:uid="{00000000-0004-0000-0500-000026000000}"/>
    <hyperlink ref="Q366" r:id="rId40" xr:uid="{00000000-0004-0000-0500-000027000000}"/>
    <hyperlink ref="Q382" r:id="rId41" xr:uid="{00000000-0004-0000-0500-000028000000}"/>
    <hyperlink ref="Q401" r:id="rId42" xr:uid="{00000000-0004-0000-0500-000029000000}"/>
    <hyperlink ref="Q504" r:id="rId43" xr:uid="{00000000-0004-0000-0500-00002A000000}"/>
    <hyperlink ref="Q534" r:id="rId44" xr:uid="{00000000-0004-0000-0500-00002B000000}"/>
    <hyperlink ref="Q535" r:id="rId45" xr:uid="{00000000-0004-0000-0500-00002C000000}"/>
    <hyperlink ref="Q605" r:id="rId46" xr:uid="{00000000-0004-0000-0500-00002D000000}"/>
    <hyperlink ref="Q613" r:id="rId47" xr:uid="{00000000-0004-0000-0500-00002E000000}"/>
    <hyperlink ref="Q626" r:id="rId48" xr:uid="{00000000-0004-0000-0500-00002F000000}"/>
    <hyperlink ref="Q630" r:id="rId49" xr:uid="{00000000-0004-0000-0500-000030000000}"/>
    <hyperlink ref="Q631" r:id="rId50" xr:uid="{00000000-0004-0000-0500-000031000000}"/>
    <hyperlink ref="Q633" r:id="rId51" xr:uid="{00000000-0004-0000-0500-000032000000}"/>
    <hyperlink ref="Q710" r:id="rId52" xr:uid="{00000000-0004-0000-0500-000033000000}"/>
    <hyperlink ref="Q718" r:id="rId53" xr:uid="{00000000-0004-0000-0500-000034000000}"/>
    <hyperlink ref="Q749" r:id="rId54" xr:uid="{00000000-0004-0000-0500-000035000000}"/>
    <hyperlink ref="Q752" r:id="rId55" xr:uid="{00000000-0004-0000-0500-000036000000}"/>
    <hyperlink ref="Q757" r:id="rId56" xr:uid="{00000000-0004-0000-0500-000037000000}"/>
    <hyperlink ref="Q784" r:id="rId57" xr:uid="{00000000-0004-0000-0500-000038000000}"/>
    <hyperlink ref="Q788" r:id="rId58" xr:uid="{00000000-0004-0000-0500-000039000000}"/>
  </hyperlinks>
  <pageMargins left="0.7" right="0.7" top="0.78740157499999996" bottom="0.78740157499999996" header="0" footer="0"/>
  <pageSetup paperSize="9" orientation="portrait"/>
  <legacyDrawing r:id="rId59"/>
  <tableParts count="1">
    <tablePart r:id="rId6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List 6</vt:lpstr>
      <vt:lpstr>Výsledky 2019</vt:lpstr>
      <vt:lpstr>Průběžné pořadí</vt:lpstr>
      <vt:lpstr>Navštívená místa</vt:lpstr>
      <vt:lpstr>Seznam míst podle jmen</vt:lpstr>
      <vt:lpstr>nasbíraná data</vt:lpstr>
      <vt:lpstr>List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 Jarolím</cp:lastModifiedBy>
  <dcterms:modified xsi:type="dcterms:W3CDTF">2025-02-04T17:41:40Z</dcterms:modified>
</cp:coreProperties>
</file>